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ladoras\BE CER y Tamar\"/>
    </mc:Choice>
  </mc:AlternateContent>
  <bookViews>
    <workbookView xWindow="0" yWindow="0" windowWidth="28800" windowHeight="12000" activeTab="4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</sheets>
  <externalReferences>
    <externalReference r:id="rId8"/>
    <externalReference r:id="rId9"/>
    <externalReference r:id="rId10"/>
    <externalReference r:id="rId11"/>
    <externalReference r:id="rId1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0" i="6" l="1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436" i="6" s="1"/>
  <c r="A437" i="6" l="1"/>
  <c r="B436" i="6"/>
  <c r="A151" i="3"/>
  <c r="A152" i="3" s="1"/>
  <c r="A153" i="3" s="1"/>
  <c r="A154" i="3" s="1"/>
  <c r="A155" i="3" s="1"/>
  <c r="A156" i="3" s="1"/>
  <c r="A157" i="3" s="1"/>
  <c r="A158" i="3" s="1"/>
  <c r="A420" i="1"/>
  <c r="B420" i="1" s="1"/>
  <c r="A438" i="6" l="1"/>
  <c r="B437" i="6"/>
  <c r="A159" i="3"/>
  <c r="A421" i="1"/>
  <c r="A422" i="1" s="1"/>
  <c r="A439" i="6" l="1"/>
  <c r="B438" i="6"/>
  <c r="A160" i="3"/>
  <c r="B421" i="1"/>
  <c r="A423" i="1"/>
  <c r="B422" i="1"/>
  <c r="A440" i="6" l="1"/>
  <c r="B439" i="6"/>
  <c r="A161" i="3"/>
  <c r="A424" i="1"/>
  <c r="A425" i="1" s="1"/>
  <c r="B425" i="1" s="1"/>
  <c r="B423" i="1"/>
  <c r="A441" i="6" l="1"/>
  <c r="B440" i="6"/>
  <c r="A162" i="3"/>
  <c r="B424" i="1"/>
  <c r="A442" i="6" l="1"/>
  <c r="B441" i="6"/>
  <c r="C162" i="3"/>
  <c r="D162" i="3"/>
  <c r="E162" i="3"/>
  <c r="A163" i="3"/>
  <c r="A164" i="3" s="1"/>
  <c r="F162" i="3"/>
  <c r="B162" i="3"/>
  <c r="A426" i="1"/>
  <c r="B426" i="1" s="1"/>
  <c r="B164" i="3" l="1"/>
  <c r="G164" i="3"/>
  <c r="O164" i="3"/>
  <c r="I164" i="3"/>
  <c r="N164" i="3"/>
  <c r="L164" i="3"/>
  <c r="K164" i="3"/>
  <c r="J164" i="3"/>
  <c r="H164" i="3"/>
  <c r="M164" i="3"/>
  <c r="A443" i="6"/>
  <c r="B442" i="6"/>
  <c r="E164" i="3"/>
  <c r="D164" i="3"/>
  <c r="C164" i="3"/>
  <c r="F164" i="3"/>
  <c r="C163" i="3"/>
  <c r="D163" i="3"/>
  <c r="E163" i="3"/>
  <c r="F163" i="3"/>
  <c r="B163" i="3"/>
  <c r="A427" i="1"/>
  <c r="B427" i="1" s="1"/>
  <c r="A444" i="6" l="1"/>
  <c r="B443" i="6"/>
  <c r="A428" i="1"/>
  <c r="B428" i="1" s="1"/>
  <c r="A445" i="6" l="1"/>
  <c r="B444" i="6"/>
  <c r="A429" i="1"/>
  <c r="B429" i="1" s="1"/>
  <c r="A446" i="6" l="1"/>
  <c r="B445" i="6"/>
  <c r="A430" i="1"/>
  <c r="B430" i="1" s="1"/>
  <c r="A447" i="6" l="1"/>
  <c r="B446" i="6"/>
  <c r="A431" i="1"/>
  <c r="B431" i="1" s="1"/>
  <c r="A448" i="6" l="1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A436" i="1" s="1"/>
  <c r="A437" i="1" s="1"/>
  <c r="A438" i="1" s="1"/>
  <c r="B434" i="1"/>
  <c r="A452" i="6" l="1"/>
  <c r="B451" i="6"/>
  <c r="A453" i="6" l="1"/>
  <c r="B452" i="6"/>
  <c r="A454" i="6" l="1"/>
  <c r="B453" i="6"/>
  <c r="A455" i="6" l="1"/>
  <c r="B454" i="6"/>
  <c r="A456" i="6" l="1"/>
  <c r="B455" i="6"/>
  <c r="A457" i="6" l="1"/>
  <c r="B456" i="6"/>
  <c r="A458" i="6" l="1"/>
  <c r="B457" i="6"/>
  <c r="A459" i="6" l="1"/>
  <c r="B458" i="6"/>
  <c r="A460" i="6" l="1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6" i="6" s="1"/>
  <c r="B595" i="6"/>
</calcChain>
</file>

<file path=xl/sharedStrings.xml><?xml version="1.0" encoding="utf-8"?>
<sst xmlns="http://schemas.openxmlformats.org/spreadsheetml/2006/main" count="47" uniqueCount="23">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</sst>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</cellXfs>
  <cellStyles count="2">
    <cellStyle name="Normal" xfId="0" builtinId="0"/>
    <cellStyle name="Normal_Excel Bloomberg (Bcra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Valuaci&#243;n\Valuaci&#243;n%20Activos%20Macro%20Fond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Columna</v>
          </cell>
          <cell r="B1">
            <v>15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  <cell r="N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  <cell r="N7">
            <v>46310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367.52200091084808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  <cell r="N12">
            <v>1.0370792499999999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701.74674425645185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  <cell r="N13">
            <v>0.93966570000000005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1009.0145636971599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  <cell r="N14">
            <v>0.86529741999999998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518.99198100096567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  <cell r="N15">
            <v>0.54814077999999999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522.88280803307464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  <cell r="N16">
            <v>0.55564020000000003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678.69860754191029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  <cell r="N17">
            <v>0.56127616999999996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686.97895548006943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  <cell r="N18">
            <v>0.57658505999999998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1018.4138538562983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  <cell r="N19">
            <v>0.88843055999999998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1597.7220400486704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  <cell r="N20">
            <v>0.74904011999999998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1655.7208155307924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  <cell r="N21">
            <v>0.80708986000000005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2234.9803427947841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  <cell r="N22">
            <v>0.65143978000000002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1908.1300094564695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  <cell r="N23">
            <v>0.71466039000000003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1943.993249384198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  <cell r="N24">
            <v>0.75481904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2031.4062600648144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  <cell r="N25">
            <v>0.66359541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2104.2976502167694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  <cell r="N26">
            <v>0.69999917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367.52401677676846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  <cell r="N28">
            <v>1591.09330303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701.74375861303417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  <cell r="N29">
            <v>1438.7780195600001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1008.9709101088143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  <cell r="N30">
            <v>1325.6020615499999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515.09401912345072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  <cell r="N31">
            <v>861.56860538000001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518.99335287017539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  <cell r="N32">
            <v>844.41074876000005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674.79090500410541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  <cell r="N33">
            <v>882.62682132999998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678.64416210219906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  <cell r="N34">
            <v>861.00148597999998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1018.3567618892089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  <cell r="N35">
            <v>1362.4184357300001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1613.0503438901883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  <cell r="N36">
            <v>1226.0070143400001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1595.8769964340897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  <cell r="N37">
            <v>1149.5621912199999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1922.5210573490087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  <cell r="N38">
            <v>1158.3793937800001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1907.1887935022235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  <cell r="N39">
            <v>1095.8103650099999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2168.841743143405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  <cell r="N40">
            <v>997.86223584000004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2054.4752010333364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  <cell r="N41">
            <v>1074.97352692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2026.7849802908481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  <cell r="N42">
            <v>1017.82195867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281.64145714079643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  <cell r="N46">
            <v>1.0516578599999999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281.75053850409756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  <cell r="N48">
            <v>1614.9979780199999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4.0000000000003499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  <cell r="N52">
            <v>1.0759900600000001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91.999999999982506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  <cell r="N53">
            <v>1.51818404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197.00000000001816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  <cell r="N54">
            <v>1.3748229700000001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228.00000000008203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  <cell r="N55">
            <v>1.29516952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258.00000000002075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  <cell r="N56">
            <v>1.3161225700000001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815.90995341959479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  <cell r="N57">
            <v>1.12853263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1.0000000000009999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  <cell r="N61">
            <v>1.0527500000000001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15.0000000000004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  <cell r="N62">
            <v>1.34352633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29.000000000007098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  <cell r="N63">
            <v>1.0771898099999999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46.000000000016797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  <cell r="N64">
            <v>1.2619768200000001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106.00000000003665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  <cell r="N65">
            <v>1.0380406799999999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60.999999999995303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  <cell r="N69">
            <v>1.73837219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133.99999999996976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  <cell r="N73">
            <v>1.2569410700000001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288.00000000006901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  <cell r="N74">
            <v>1.11006571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319.9999999999842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  <cell r="N75">
            <v>1.19223097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685.99999999995237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  <cell r="N76">
            <v>1.0989572999999999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623.99999999995237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  <cell r="N80">
            <v>1.03762362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792.00000000039779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  <cell r="N81">
            <v>0.96818355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987.99999999949875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  <cell r="N82">
            <v>0.95349207999999996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1156.0000000001157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  <cell r="N83">
            <v>0.88072028999999996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1351.9999999993336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  <cell r="N84">
            <v>0.85084764000000002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24.999999999999453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  <cell r="N88">
            <v>7.56998792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15.0000000000004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  <cell r="N89">
            <v>1.7654263699999999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45.999999999983949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  <cell r="N90">
            <v>1.2819699200000001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60.999999999995303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  <cell r="N91">
            <v>3.1146038800000002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106.00000000000745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  <cell r="N92">
            <v>1.0331343399999999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167.00000000003195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  <cell r="N93">
            <v>2.32076708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196.999999999978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  <cell r="N94">
            <v>1.27900002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228.00000000002726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  <cell r="N95">
            <v>1.2612713499999999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258.00000000002439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  <cell r="N96">
            <v>4.1311680300000004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349.99999999993389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  <cell r="N97">
            <v>1.1179114699999999</v>
          </cell>
        </row>
        <row r="98">
          <cell r="A98" t="str">
            <v>TZXO7</v>
          </cell>
          <cell r="B98" t="str">
            <v>TZXO7ARS</v>
          </cell>
          <cell r="C98" t="str">
            <v>Soberano - Tasa Fija Pesos CER</v>
          </cell>
          <cell r="D98">
            <v>379.00000000014541</v>
          </cell>
          <cell r="N98">
            <v>1.01900017</v>
          </cell>
        </row>
        <row r="99">
          <cell r="A99" t="str">
            <v>TZXD7</v>
          </cell>
          <cell r="B99" t="str">
            <v>TZXD7ARS</v>
          </cell>
          <cell r="C99" t="str">
            <v>Soberano - Tasa Fija Pesos CER</v>
          </cell>
          <cell r="D99">
            <v>426.00000000004275</v>
          </cell>
          <cell r="E99">
            <v>2.81221086</v>
          </cell>
          <cell r="F99">
            <v>2.8366361900000001</v>
          </cell>
          <cell r="G99">
            <v>2.8418500999999998</v>
          </cell>
          <cell r="H99">
            <v>2.84846975</v>
          </cell>
          <cell r="I99">
            <v>2.8522193200000001</v>
          </cell>
          <cell r="J99">
            <v>2.8454391299999999</v>
          </cell>
          <cell r="K99">
            <v>2.8527074699999999</v>
          </cell>
          <cell r="L99">
            <v>2.8698494600000002</v>
          </cell>
          <cell r="M99">
            <v>2.8709852200000001</v>
          </cell>
          <cell r="N99">
            <v>2.8797034799999999</v>
          </cell>
        </row>
        <row r="100">
          <cell r="A100" t="str">
            <v>TZXS8</v>
          </cell>
          <cell r="B100" t="str">
            <v>TZXS8ARS</v>
          </cell>
          <cell r="C100" t="str">
            <v>Soberano - Tasa Fija Pesos CER</v>
          </cell>
          <cell r="D100">
            <v>715.00000000026603</v>
          </cell>
          <cell r="E100">
            <v>0.95454327999999999</v>
          </cell>
          <cell r="F100">
            <v>0.95990352999999995</v>
          </cell>
          <cell r="G100">
            <v>0.96376781</v>
          </cell>
          <cell r="H100">
            <v>0.97697509000000005</v>
          </cell>
          <cell r="I100">
            <v>0.97870531999999999</v>
          </cell>
          <cell r="J100">
            <v>0.97865988999999998</v>
          </cell>
          <cell r="K100">
            <v>0.98127425999999995</v>
          </cell>
          <cell r="L100">
            <v>0.98119071000000002</v>
          </cell>
          <cell r="M100">
            <v>0.98136414999999999</v>
          </cell>
          <cell r="N100">
            <v>0.98050603999999997</v>
          </cell>
        </row>
        <row r="101">
          <cell r="A101" t="str">
            <v>TZX28</v>
          </cell>
          <cell r="B101" t="str">
            <v>TZX28ARS</v>
          </cell>
          <cell r="C101" t="str">
            <v>Soberano - Tasa Fija Pesos CER</v>
          </cell>
          <cell r="D101">
            <v>623.99999999999989</v>
          </cell>
          <cell r="E101">
            <v>3.5458695200000001</v>
          </cell>
          <cell r="F101">
            <v>3.5653664699999998</v>
          </cell>
          <cell r="G101">
            <v>3.5836530400000002</v>
          </cell>
          <cell r="H101">
            <v>3.5942459100000002</v>
          </cell>
          <cell r="I101">
            <v>3.60908367</v>
          </cell>
          <cell r="J101">
            <v>3.5901815899999998</v>
          </cell>
          <cell r="K101">
            <v>3.6190726799999999</v>
          </cell>
          <cell r="L101">
            <v>3.6202291299999998</v>
          </cell>
          <cell r="M101">
            <v>3.6150677500000001</v>
          </cell>
          <cell r="N101">
            <v>3.6075141899999998</v>
          </cell>
        </row>
        <row r="102">
          <cell r="A102" t="str">
            <v>TZXM8</v>
          </cell>
          <cell r="B102" t="str">
            <v>TZXM8ARS</v>
          </cell>
          <cell r="C102" t="str">
            <v>Soberano - Tasa Fija Pesos CER</v>
          </cell>
          <cell r="D102">
            <v>533.00000000000739</v>
          </cell>
          <cell r="E102">
            <v>1.00892969</v>
          </cell>
          <cell r="F102">
            <v>1.0188324900000001</v>
          </cell>
          <cell r="G102">
            <v>1.0229919999999999</v>
          </cell>
          <cell r="H102">
            <v>1.02450017</v>
          </cell>
          <cell r="I102">
            <v>1.0227945199999999</v>
          </cell>
          <cell r="J102">
            <v>1.02891296</v>
          </cell>
          <cell r="K102">
            <v>1.03091176</v>
          </cell>
          <cell r="L102">
            <v>1.0318006099999999</v>
          </cell>
          <cell r="M102">
            <v>1.0349810399999999</v>
          </cell>
          <cell r="N102">
            <v>1.0330397499999999</v>
          </cell>
        </row>
        <row r="103">
          <cell r="A103" t="str">
            <v>TZXD8</v>
          </cell>
          <cell r="B103" t="str">
            <v>TZXD8ARS</v>
          </cell>
          <cell r="C103" t="str">
            <v>Soberano - Tasa Fija Pesos CER</v>
          </cell>
          <cell r="D103">
            <v>792.00000000041609</v>
          </cell>
          <cell r="E103">
            <v>0.85389999999999999</v>
          </cell>
          <cell r="F103">
            <v>0.85999998</v>
          </cell>
          <cell r="G103">
            <v>0.86281226</v>
          </cell>
          <cell r="H103">
            <v>0.86971883999999999</v>
          </cell>
          <cell r="I103">
            <v>0.86950000000000005</v>
          </cell>
          <cell r="J103">
            <v>0.87400001999999999</v>
          </cell>
          <cell r="K103">
            <v>0.87699309000000003</v>
          </cell>
          <cell r="L103">
            <v>0.87646520000000006</v>
          </cell>
          <cell r="M103">
            <v>0.87050196999999996</v>
          </cell>
          <cell r="N103">
            <v>0.87024263000000002</v>
          </cell>
        </row>
        <row r="104">
          <cell r="A104" t="str">
            <v>TZXM9</v>
          </cell>
          <cell r="B104" t="str">
            <v>TZXM9ARS</v>
          </cell>
          <cell r="C104" t="str">
            <v>Soberano - Tasa Fija Pesos CER</v>
          </cell>
          <cell r="D104">
            <v>894.99999999996066</v>
          </cell>
          <cell r="E104">
            <v>0.90952962000000004</v>
          </cell>
          <cell r="F104">
            <v>0.91112943999999996</v>
          </cell>
          <cell r="G104">
            <v>0.91286754999999997</v>
          </cell>
          <cell r="H104">
            <v>0.92161550000000003</v>
          </cell>
          <cell r="I104">
            <v>0.92601593000000004</v>
          </cell>
          <cell r="J104">
            <v>0.93140000000000001</v>
          </cell>
          <cell r="K104">
            <v>0.92910605999999996</v>
          </cell>
          <cell r="L104">
            <v>0.93078998999999996</v>
          </cell>
          <cell r="M104">
            <v>0.927176</v>
          </cell>
          <cell r="N104">
            <v>0.92350297999999997</v>
          </cell>
        </row>
        <row r="105">
          <cell r="A105" t="str">
            <v>DICP</v>
          </cell>
          <cell r="B105" t="str">
            <v>DICPARS</v>
          </cell>
          <cell r="C105" t="str">
            <v>Soberano - Tasa Fija Pesos CER</v>
          </cell>
          <cell r="D105">
            <v>1108.0694337268703</v>
          </cell>
          <cell r="E105">
            <v>482.82814934999999</v>
          </cell>
          <cell r="F105">
            <v>485.86275510000002</v>
          </cell>
          <cell r="G105">
            <v>489.94758719999999</v>
          </cell>
          <cell r="H105">
            <v>492.00095325000001</v>
          </cell>
          <cell r="I105">
            <v>491.80371127000001</v>
          </cell>
          <cell r="J105">
            <v>491.45094437</v>
          </cell>
          <cell r="K105">
            <v>494.39902504999998</v>
          </cell>
          <cell r="L105">
            <v>493.52011914000002</v>
          </cell>
          <cell r="M105">
            <v>490.22198803999999</v>
          </cell>
          <cell r="N105">
            <v>492.52084660999998</v>
          </cell>
        </row>
        <row r="106">
          <cell r="A106"/>
          <cell r="B106"/>
          <cell r="C106"/>
          <cell r="D106"/>
        </row>
        <row r="107">
          <cell r="A107" t="str">
            <v>Bonos Soberanos Dólar Linked</v>
          </cell>
          <cell r="B107"/>
          <cell r="C107"/>
          <cell r="D107"/>
        </row>
        <row r="108">
          <cell r="A108"/>
          <cell r="B108"/>
          <cell r="C108"/>
          <cell r="D108"/>
        </row>
        <row r="109">
          <cell r="A109" t="str">
            <v>D30O6</v>
          </cell>
          <cell r="B109" t="str">
            <v>D30O6ARS</v>
          </cell>
          <cell r="C109" t="str">
            <v>LeLink - Tasa Fija USD Link</v>
          </cell>
          <cell r="D109">
            <v>15.0000000000004</v>
          </cell>
          <cell r="E109">
            <v>1516.3591143900001</v>
          </cell>
          <cell r="F109">
            <v>1515.7253859100001</v>
          </cell>
          <cell r="G109">
            <v>1513.7168782900001</v>
          </cell>
          <cell r="H109">
            <v>1513.25043723</v>
          </cell>
          <cell r="I109">
            <v>1512.8833083</v>
          </cell>
          <cell r="J109">
            <v>1512.5530781</v>
          </cell>
          <cell r="K109">
            <v>1513.56546884</v>
          </cell>
          <cell r="L109">
            <v>1510.6740583400001</v>
          </cell>
          <cell r="M109">
            <v>1510.13660411</v>
          </cell>
          <cell r="N109">
            <v>1509.6619639</v>
          </cell>
        </row>
        <row r="110">
          <cell r="A110" t="str">
            <v>D30N6</v>
          </cell>
          <cell r="B110" t="str">
            <v>D30N6ARS</v>
          </cell>
          <cell r="C110" t="str">
            <v>LeLink - Tasa Fija USD Link</v>
          </cell>
          <cell r="D110">
            <v>45.999999999998558</v>
          </cell>
          <cell r="E110">
            <v>1511.86801786</v>
          </cell>
          <cell r="F110">
            <v>1512.4074718899999</v>
          </cell>
          <cell r="G110">
            <v>1509.7487176</v>
          </cell>
          <cell r="H110">
            <v>1509.8441895000001</v>
          </cell>
          <cell r="I110">
            <v>1510.4829224299999</v>
          </cell>
          <cell r="J110">
            <v>1507.7800651099999</v>
          </cell>
          <cell r="K110">
            <v>1510.0003593399999</v>
          </cell>
          <cell r="L110">
            <v>1510.3867922300001</v>
          </cell>
          <cell r="M110">
            <v>1506.36603313</v>
          </cell>
          <cell r="N110">
            <v>1506.0263081000001</v>
          </cell>
        </row>
        <row r="111">
          <cell r="A111"/>
          <cell r="B111"/>
          <cell r="C111"/>
          <cell r="D111"/>
        </row>
        <row r="112">
          <cell r="A112" t="str">
            <v>Bonos Soberanos Dólar Linked - TAMAR</v>
          </cell>
          <cell r="B112"/>
          <cell r="C112"/>
          <cell r="D112"/>
        </row>
        <row r="113">
          <cell r="A113"/>
          <cell r="B113"/>
          <cell r="C113"/>
          <cell r="D113"/>
        </row>
        <row r="114">
          <cell r="A114" t="str">
            <v>TMVE8</v>
          </cell>
          <cell r="B114" t="str">
            <v>TMVE8ARS</v>
          </cell>
          <cell r="C114" t="str">
            <v>TMVE8 - Z-Spread D</v>
          </cell>
          <cell r="D114">
            <v>469.99999999999915</v>
          </cell>
          <cell r="E114">
            <v>1424.30875844</v>
          </cell>
          <cell r="F114">
            <v>1429.9763461299999</v>
          </cell>
          <cell r="G114">
            <v>1432.3469475899999</v>
          </cell>
          <cell r="H114">
            <v>1435.04689403</v>
          </cell>
          <cell r="I114">
            <v>1436.22734943</v>
          </cell>
          <cell r="J114">
            <v>1438.3300213800001</v>
          </cell>
          <cell r="K114">
            <v>1437.2083255699999</v>
          </cell>
          <cell r="L114">
            <v>1436.15407448</v>
          </cell>
          <cell r="M114">
            <v>1435.2872485299999</v>
          </cell>
          <cell r="N114">
            <v>1439.95640652</v>
          </cell>
        </row>
        <row r="115">
          <cell r="A115"/>
          <cell r="B115"/>
          <cell r="C115"/>
          <cell r="D115"/>
        </row>
        <row r="116">
          <cell r="A116" t="str">
            <v>Letras provinciales Cer</v>
          </cell>
          <cell r="B116"/>
          <cell r="C116"/>
          <cell r="D116"/>
        </row>
        <row r="117">
          <cell r="A117"/>
          <cell r="B117"/>
          <cell r="C117"/>
          <cell r="D117"/>
        </row>
        <row r="118">
          <cell r="A118" t="str">
            <v>COY27</v>
          </cell>
          <cell r="B118" t="str">
            <v>COY27ARS</v>
          </cell>
          <cell r="C118" t="str">
            <v>Subsoberano Tier 1 - Tasa Fija Pesos CER</v>
          </cell>
          <cell r="D118">
            <v>172.49446486341853</v>
          </cell>
          <cell r="E118">
            <v>2.3338340500000001</v>
          </cell>
          <cell r="F118">
            <v>2.3259488899999998</v>
          </cell>
          <cell r="G118">
            <v>2.3315078699999998</v>
          </cell>
          <cell r="H118">
            <v>2.3344347499999998</v>
          </cell>
          <cell r="I118">
            <v>2.3320940299999999</v>
          </cell>
          <cell r="J118">
            <v>2.3380614300000002</v>
          </cell>
          <cell r="K118">
            <v>2.3396211299999998</v>
          </cell>
          <cell r="L118">
            <v>2.3437330799999998</v>
          </cell>
          <cell r="M118">
            <v>2.3443107699999999</v>
          </cell>
          <cell r="N118">
            <v>2.3470424200000002</v>
          </cell>
        </row>
        <row r="119">
          <cell r="A119"/>
          <cell r="B119"/>
          <cell r="C119"/>
          <cell r="D119"/>
        </row>
        <row r="120">
          <cell r="A120" t="str">
            <v>Letras provinciales Tamar</v>
          </cell>
          <cell r="B120"/>
          <cell r="C120"/>
          <cell r="D120"/>
        </row>
        <row r="121">
          <cell r="A121"/>
          <cell r="B121"/>
          <cell r="C121"/>
          <cell r="D121"/>
        </row>
        <row r="122">
          <cell r="A122" t="str">
            <v>CO2D7</v>
          </cell>
          <cell r="B122" t="str">
            <v>CO2D7ARS</v>
          </cell>
          <cell r="C122" t="str">
            <v>Subsoberano Tier 1 - TAMAR TP</v>
          </cell>
          <cell r="D122">
            <v>321.90779840773797</v>
          </cell>
          <cell r="E122">
            <v>1.0227225099999999</v>
          </cell>
          <cell r="F122">
            <v>1.0260071500000001</v>
          </cell>
          <cell r="G122">
            <v>1.01698055</v>
          </cell>
          <cell r="H122">
            <v>1.02274519</v>
          </cell>
          <cell r="I122">
            <v>1.02170926</v>
          </cell>
          <cell r="J122">
            <v>0.99186079000000005</v>
          </cell>
          <cell r="K122">
            <v>0.99622913000000002</v>
          </cell>
          <cell r="L122">
            <v>1.00682308</v>
          </cell>
          <cell r="M122">
            <v>1.011112</v>
          </cell>
          <cell r="N122">
            <v>1.0042496999999999</v>
          </cell>
        </row>
        <row r="123">
          <cell r="A123"/>
          <cell r="B123"/>
          <cell r="C123"/>
          <cell r="D123"/>
        </row>
        <row r="124">
          <cell r="A124" t="str">
            <v>Letras provinciales Hard USD</v>
          </cell>
          <cell r="B124"/>
          <cell r="C124"/>
          <cell r="D124"/>
        </row>
        <row r="125">
          <cell r="A125"/>
          <cell r="B125"/>
          <cell r="C125"/>
          <cell r="D125"/>
        </row>
        <row r="126">
          <cell r="A126" t="str">
            <v>SJO5D</v>
          </cell>
          <cell r="B126" t="str">
            <v>SJO5DUSM</v>
          </cell>
          <cell r="C126" t="str">
            <v>SJO35 - Z-Spread NY</v>
          </cell>
          <cell r="D126">
            <v>2105.9889011085393</v>
          </cell>
          <cell r="G126">
            <v>1.1023022099999999</v>
          </cell>
          <cell r="H126">
            <v>1.04622444</v>
          </cell>
          <cell r="I126">
            <v>1.0140185100000001</v>
          </cell>
          <cell r="J126">
            <v>1.0249420899999999</v>
          </cell>
          <cell r="K126">
            <v>1.0304920399999999</v>
          </cell>
          <cell r="L126">
            <v>1.0218382500000001</v>
          </cell>
          <cell r="M126">
            <v>1.0340084899999999</v>
          </cell>
          <cell r="N126">
            <v>1.0389999999999999</v>
          </cell>
        </row>
        <row r="127">
          <cell r="A127"/>
          <cell r="B127"/>
          <cell r="C127"/>
          <cell r="D127"/>
        </row>
        <row r="128">
          <cell r="A128" t="str">
            <v>SJO35</v>
          </cell>
          <cell r="B128" t="str">
            <v>SJO35ARS</v>
          </cell>
          <cell r="C128" t="str">
            <v>SJO35S - Z-Spread NY Pesos</v>
          </cell>
          <cell r="D128">
            <v>2080.5182895723765</v>
          </cell>
          <cell r="E128">
            <v>1602.24</v>
          </cell>
          <cell r="F128">
            <v>1593.98653448</v>
          </cell>
          <cell r="G128">
            <v>1700.9780062100001</v>
          </cell>
          <cell r="H128">
            <v>1612.52767939</v>
          </cell>
          <cell r="I128">
            <v>1560.5110013399999</v>
          </cell>
          <cell r="J128">
            <v>1574.9981769000001</v>
          </cell>
          <cell r="K128">
            <v>1599.93038828</v>
          </cell>
          <cell r="L128">
            <v>1589.6180757499999</v>
          </cell>
          <cell r="M128">
            <v>1589.1344104899999</v>
          </cell>
          <cell r="N128">
            <v>1591.1037980999999</v>
          </cell>
        </row>
        <row r="129">
          <cell r="A129"/>
          <cell r="B129"/>
          <cell r="C129"/>
          <cell r="D129"/>
        </row>
        <row r="130">
          <cell r="A130" t="str">
            <v>Obligaciones Negociables Baldar</v>
          </cell>
          <cell r="B130"/>
          <cell r="C130"/>
          <cell r="D130"/>
        </row>
        <row r="131">
          <cell r="A131"/>
          <cell r="B131"/>
          <cell r="C131"/>
          <cell r="D131"/>
        </row>
        <row r="132">
          <cell r="A132" t="str">
            <v>CH9BO</v>
          </cell>
          <cell r="B132" t="str">
            <v>CH9BOARS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</row>
        <row r="133">
          <cell r="A133" t="str">
            <v>DRSEO</v>
          </cell>
          <cell r="B133" t="str">
            <v>DRSEOARS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</row>
        <row r="134">
          <cell r="A134" t="str">
            <v>DRDCO</v>
          </cell>
          <cell r="B134" t="str">
            <v>DRDCOARS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</row>
        <row r="135">
          <cell r="A135"/>
          <cell r="B135"/>
          <cell r="C135"/>
          <cell r="D135"/>
        </row>
        <row r="136">
          <cell r="A136" t="str">
            <v>Obligaciones Negociables Tamar</v>
          </cell>
          <cell r="B136"/>
          <cell r="C136"/>
          <cell r="D136"/>
        </row>
        <row r="137">
          <cell r="A137"/>
          <cell r="B137"/>
          <cell r="C137"/>
          <cell r="D137"/>
        </row>
        <row r="138">
          <cell r="A138" t="str">
            <v>IP11P</v>
          </cell>
          <cell r="B138" t="str">
            <v>IP11PARS</v>
          </cell>
          <cell r="C138" t="str">
            <v>ON PyME Gar - TAMAR ON</v>
          </cell>
          <cell r="D138">
            <v>97.634263406186847</v>
          </cell>
          <cell r="E138">
            <v>0.71808508000000004</v>
          </cell>
          <cell r="F138">
            <v>0.71523113000000005</v>
          </cell>
          <cell r="G138">
            <v>0.71874519999999997</v>
          </cell>
          <cell r="H138">
            <v>0.71817998000000005</v>
          </cell>
          <cell r="I138">
            <v>0.71899506000000002</v>
          </cell>
          <cell r="J138">
            <v>0.72105215</v>
          </cell>
          <cell r="K138">
            <v>0.72309064999999995</v>
          </cell>
          <cell r="L138">
            <v>0.72347819999999996</v>
          </cell>
          <cell r="M138">
            <v>0.72350983999999996</v>
          </cell>
          <cell r="N138">
            <v>0.72354353999999999</v>
          </cell>
        </row>
        <row r="139">
          <cell r="A139" t="str">
            <v>LMS1P</v>
          </cell>
          <cell r="B139" t="str">
            <v>LMS1PARS</v>
          </cell>
          <cell r="C139" t="str">
            <v>ON PyME Gar - TAMAR ON</v>
          </cell>
          <cell r="D139">
            <v>137.62417428029835</v>
          </cell>
          <cell r="E139">
            <v>0.52160766999999997</v>
          </cell>
          <cell r="F139">
            <v>0.51853890000000002</v>
          </cell>
          <cell r="G139">
            <v>0.52190336000000004</v>
          </cell>
          <cell r="H139">
            <v>0.52124252999999998</v>
          </cell>
          <cell r="I139">
            <v>0.52196189000000004</v>
          </cell>
          <cell r="J139">
            <v>0.52385554000000001</v>
          </cell>
          <cell r="K139">
            <v>0.52544088</v>
          </cell>
          <cell r="L139">
            <v>0.52572383</v>
          </cell>
          <cell r="M139">
            <v>0.52565543000000003</v>
          </cell>
          <cell r="N139">
            <v>0.52558945999999995</v>
          </cell>
        </row>
        <row r="140">
          <cell r="A140" t="str">
            <v>PES1L</v>
          </cell>
          <cell r="B140" t="str">
            <v>PES1LARS</v>
          </cell>
          <cell r="C140" t="str">
            <v>ON PyME Gar - TAMAR ON</v>
          </cell>
          <cell r="D140">
            <v>204.49082814290978</v>
          </cell>
          <cell r="E140">
            <v>0.7521023</v>
          </cell>
          <cell r="F140">
            <v>0.74612075</v>
          </cell>
          <cell r="G140">
            <v>0.75260033000000004</v>
          </cell>
          <cell r="H140">
            <v>0.75124062000000003</v>
          </cell>
          <cell r="I140">
            <v>0.75268805000000005</v>
          </cell>
          <cell r="J140">
            <v>0.75585504999999997</v>
          </cell>
          <cell r="K140">
            <v>0.75814601000000004</v>
          </cell>
          <cell r="L140">
            <v>0.75859759000000004</v>
          </cell>
          <cell r="M140">
            <v>0.75848504000000005</v>
          </cell>
          <cell r="N140">
            <v>0.75841413000000002</v>
          </cell>
        </row>
        <row r="141">
          <cell r="A141" t="str">
            <v>FSS1L</v>
          </cell>
          <cell r="B141" t="str">
            <v>FSS1LARS</v>
          </cell>
          <cell r="C141" t="str">
            <v>ON PyME Gar - TAMAR ON</v>
          </cell>
          <cell r="D141">
            <v>211.27550560472105</v>
          </cell>
          <cell r="E141">
            <v>0.78897684000000001</v>
          </cell>
          <cell r="F141">
            <v>0.78292457000000004</v>
          </cell>
          <cell r="G141">
            <v>0.78961627000000001</v>
          </cell>
          <cell r="H141">
            <v>0.78826306999999995</v>
          </cell>
          <cell r="I141">
            <v>0.78977379000000003</v>
          </cell>
          <cell r="J141">
            <v>0.79301580999999999</v>
          </cell>
          <cell r="K141">
            <v>0.79536052000000002</v>
          </cell>
          <cell r="L141">
            <v>0.79584991999999999</v>
          </cell>
          <cell r="M141">
            <v>0.79578269999999995</v>
          </cell>
          <cell r="N141">
            <v>0.79576190999999996</v>
          </cell>
        </row>
        <row r="142">
          <cell r="A142" t="str">
            <v>DJS1L</v>
          </cell>
          <cell r="B142" t="str">
            <v>DJS1LARS</v>
          </cell>
          <cell r="C142" t="str">
            <v>ON PyME Gar - TAMAR ON</v>
          </cell>
          <cell r="D142">
            <v>293.32976238548969</v>
          </cell>
          <cell r="E142">
            <v>0.76595769999999996</v>
          </cell>
          <cell r="F142">
            <v>0.75894262999999995</v>
          </cell>
          <cell r="G142">
            <v>0.76669666999999997</v>
          </cell>
          <cell r="H142">
            <v>0.76519387000000005</v>
          </cell>
          <cell r="I142">
            <v>0.76689638000000004</v>
          </cell>
          <cell r="J142">
            <v>0.77054040999999995</v>
          </cell>
          <cell r="K142">
            <v>0.77279876999999997</v>
          </cell>
          <cell r="L142">
            <v>0.77332666999999999</v>
          </cell>
          <cell r="M142">
            <v>0.77325524999999995</v>
          </cell>
          <cell r="N142">
            <v>0.77325999000000001</v>
          </cell>
        </row>
        <row r="143">
          <cell r="A143" t="str">
            <v>CZ11L</v>
          </cell>
          <cell r="B143" t="str">
            <v>CZ11LARS</v>
          </cell>
          <cell r="C143" t="str">
            <v>ON PyME Gar - TAMAR ON</v>
          </cell>
          <cell r="D143">
            <v>279.12193943394834</v>
          </cell>
          <cell r="E143">
            <v>1.0455109300000001</v>
          </cell>
          <cell r="F143">
            <v>1.0361494200000001</v>
          </cell>
          <cell r="G143">
            <v>1.0464652000000001</v>
          </cell>
          <cell r="H143">
            <v>1.04443251</v>
          </cell>
          <cell r="I143">
            <v>1.04670609</v>
          </cell>
          <cell r="J143">
            <v>1.0515786</v>
          </cell>
          <cell r="K143">
            <v>1.05467384</v>
          </cell>
          <cell r="L143">
            <v>1.0553835</v>
          </cell>
          <cell r="M143">
            <v>1.05528574</v>
          </cell>
          <cell r="N143">
            <v>1.0552803500000001</v>
          </cell>
        </row>
        <row r="144">
          <cell r="A144" t="str">
            <v>AKS1L</v>
          </cell>
          <cell r="B144" t="str">
            <v>AKS1LARS</v>
          </cell>
          <cell r="C144" t="str">
            <v>ON PyME Gar - TAMAR ON</v>
          </cell>
          <cell r="D144">
            <v>368.20624331361887</v>
          </cell>
          <cell r="E144">
            <v>1.0219939199999999</v>
          </cell>
          <cell r="F144">
            <v>1.01080331</v>
          </cell>
          <cell r="G144">
            <v>1.02332494</v>
          </cell>
          <cell r="H144">
            <v>1.0208458499999999</v>
          </cell>
          <cell r="I144">
            <v>1.02373424</v>
          </cell>
          <cell r="J144">
            <v>1.0290141399999999</v>
          </cell>
          <cell r="K144">
            <v>1.0319159499999999</v>
          </cell>
          <cell r="L144">
            <v>1.03270832</v>
          </cell>
          <cell r="M144">
            <v>1.03269403</v>
          </cell>
          <cell r="N144">
            <v>1.0328490699999999</v>
          </cell>
        </row>
        <row r="145">
          <cell r="A145" t="str">
            <v>SQS1L</v>
          </cell>
          <cell r="B145" t="str">
            <v>SQS1LARS</v>
          </cell>
          <cell r="C145" t="str">
            <v>ON PyME Gar - TAMAR ON</v>
          </cell>
          <cell r="D145">
            <v>399.56982923876751</v>
          </cell>
          <cell r="E145">
            <v>1.0293646999999999</v>
          </cell>
          <cell r="F145">
            <v>1.02192248</v>
          </cell>
          <cell r="G145">
            <v>1.0312315599999999</v>
          </cell>
          <cell r="H145">
            <v>1.030219</v>
          </cell>
          <cell r="I145">
            <v>1.03202543</v>
          </cell>
          <cell r="J145">
            <v>1.03695198</v>
          </cell>
          <cell r="K145">
            <v>1.0395643299999999</v>
          </cell>
          <cell r="L145">
            <v>1.0404317000000001</v>
          </cell>
          <cell r="M145">
            <v>1.04066057</v>
          </cell>
          <cell r="N145">
            <v>1.0409950400000001</v>
          </cell>
        </row>
        <row r="146">
          <cell r="A146" t="str">
            <v>CHS1L</v>
          </cell>
          <cell r="B146" t="str">
            <v>CHS1LARS</v>
          </cell>
          <cell r="C146" t="str">
            <v>ON PyME Gar - TAMAR ON</v>
          </cell>
          <cell r="D146">
            <v>463.37062796786404</v>
          </cell>
          <cell r="E146">
            <v>1.02627929</v>
          </cell>
          <cell r="F146">
            <v>1.02032057</v>
          </cell>
          <cell r="G146">
            <v>1.02880861</v>
          </cell>
          <cell r="H146">
            <v>1.0284679999999999</v>
          </cell>
          <cell r="I146">
            <v>1.0299946600000001</v>
          </cell>
          <cell r="J146">
            <v>1.03477409</v>
          </cell>
          <cell r="K146">
            <v>1.0370515600000001</v>
          </cell>
          <cell r="L146">
            <v>1.0380264100000001</v>
          </cell>
          <cell r="M146">
            <v>1.0385156</v>
          </cell>
          <cell r="N146">
            <v>1.0391166999999999</v>
          </cell>
        </row>
        <row r="147">
          <cell r="A147" t="str">
            <v>GES2L</v>
          </cell>
          <cell r="B147" t="str">
            <v>GES2LARS</v>
          </cell>
          <cell r="C147" t="str">
            <v>ON PyME Gar - TAMAR ON</v>
          </cell>
          <cell r="D147">
            <v>517.34473040152989</v>
          </cell>
          <cell r="I147">
            <v>1.00554499</v>
          </cell>
          <cell r="J147">
            <v>1.010122</v>
          </cell>
          <cell r="K147">
            <v>1.0120881399999999</v>
          </cell>
          <cell r="L147">
            <v>1.01313042</v>
          </cell>
          <cell r="M147">
            <v>1.0138199000000001</v>
          </cell>
          <cell r="N147">
            <v>1.01455333</v>
          </cell>
        </row>
        <row r="148">
          <cell r="A148" t="str">
            <v>AKS2L</v>
          </cell>
          <cell r="B148" t="str">
            <v>AKS2LARS</v>
          </cell>
          <cell r="C148" t="str">
            <v>ON PyME Gar - TAMAR ON</v>
          </cell>
          <cell r="D148">
            <v>522.27828333913533</v>
          </cell>
          <cell r="E148">
            <v>1.0091040099999999</v>
          </cell>
          <cell r="F148">
            <v>1.0069321499999999</v>
          </cell>
          <cell r="G148">
            <v>1.01203431</v>
          </cell>
          <cell r="H148">
            <v>1.0132026000000001</v>
          </cell>
          <cell r="I148">
            <v>1.01349636</v>
          </cell>
          <cell r="J148">
            <v>1.0180764099999999</v>
          </cell>
          <cell r="K148">
            <v>1.02002554</v>
          </cell>
          <cell r="L148">
            <v>1.0210932500000001</v>
          </cell>
          <cell r="M148">
            <v>1.02183008</v>
          </cell>
          <cell r="N148">
            <v>1.0225688900000001</v>
          </cell>
        </row>
        <row r="149">
          <cell r="A149" t="str">
            <v>BF38O</v>
          </cell>
          <cell r="B149" t="str">
            <v>BF38OARS</v>
          </cell>
          <cell r="C149" t="str">
            <v>ON Tier 1 - TAMAR ON</v>
          </cell>
          <cell r="D149">
            <v>35.99999999999585</v>
          </cell>
          <cell r="E149">
            <v>1.0346086999999999</v>
          </cell>
          <cell r="F149">
            <v>1.0363554500000001</v>
          </cell>
          <cell r="G149">
            <v>1.03643098</v>
          </cell>
          <cell r="H149">
            <v>1.0368934599999999</v>
          </cell>
          <cell r="I149">
            <v>1.0375213999999999</v>
          </cell>
          <cell r="J149">
            <v>1.0388948899999999</v>
          </cell>
          <cell r="K149">
            <v>1.04207531</v>
          </cell>
          <cell r="L149">
            <v>1.0427479399999999</v>
          </cell>
          <cell r="M149">
            <v>1.0431640799999999</v>
          </cell>
          <cell r="N149">
            <v>1.0437741599999999</v>
          </cell>
        </row>
        <row r="150">
          <cell r="A150" t="str">
            <v>SXC5O</v>
          </cell>
          <cell r="B150" t="str">
            <v>SXC5OARS</v>
          </cell>
          <cell r="C150" t="str">
            <v>ON Tier 1 - TAMAR ON</v>
          </cell>
          <cell r="D150">
            <v>34.000000000004796</v>
          </cell>
          <cell r="E150">
            <v>1.03354773</v>
          </cell>
          <cell r="F150">
            <v>1.0353106599999999</v>
          </cell>
          <cell r="G150">
            <v>1.035398</v>
          </cell>
          <cell r="H150">
            <v>1.03587132</v>
          </cell>
          <cell r="I150">
            <v>1.0364935099999999</v>
          </cell>
          <cell r="J150">
            <v>1.03784159</v>
          </cell>
          <cell r="K150">
            <v>1.0410052400000001</v>
          </cell>
          <cell r="L150">
            <v>1.0416804399999999</v>
          </cell>
          <cell r="M150">
            <v>1.04211338</v>
          </cell>
          <cell r="N150">
            <v>1.0427256</v>
          </cell>
        </row>
        <row r="151">
          <cell r="A151" t="str">
            <v>RC3CO</v>
          </cell>
          <cell r="B151" t="str">
            <v>RC3COARS</v>
          </cell>
          <cell r="C151" t="str">
            <v>ON Tier 1 - TAMAR ON</v>
          </cell>
          <cell r="D151">
            <v>60.999999999969752</v>
          </cell>
          <cell r="E151">
            <v>1.01507806</v>
          </cell>
          <cell r="F151">
            <v>1.0165147699999999</v>
          </cell>
          <cell r="G151">
            <v>1.01526088</v>
          </cell>
          <cell r="H151">
            <v>1.0167046399999999</v>
          </cell>
          <cell r="I151">
            <v>1.0174083300000001</v>
          </cell>
          <cell r="J151">
            <v>1.0190145799999999</v>
          </cell>
          <cell r="K151">
            <v>1.02228757</v>
          </cell>
          <cell r="L151">
            <v>1.0229330299999999</v>
          </cell>
          <cell r="M151">
            <v>1.0231831199999999</v>
          </cell>
          <cell r="N151">
            <v>1.0237667399999999</v>
          </cell>
        </row>
        <row r="152">
          <cell r="A152" t="str">
            <v>RC4CO</v>
          </cell>
          <cell r="B152" t="str">
            <v>RC4COARS</v>
          </cell>
          <cell r="C152" t="str">
            <v>ON Tier 1 - TAMAR ON</v>
          </cell>
          <cell r="D152">
            <v>127.0376566980334</v>
          </cell>
          <cell r="E152">
            <v>1.0321267199999999</v>
          </cell>
          <cell r="F152">
            <v>1.0328105299999999</v>
          </cell>
          <cell r="G152">
            <v>1.0329555800000001</v>
          </cell>
          <cell r="H152">
            <v>1.0325072799999999</v>
          </cell>
          <cell r="I152">
            <v>1.0326</v>
          </cell>
          <cell r="J152">
            <v>1.0357502300000001</v>
          </cell>
          <cell r="K152">
            <v>1.0392977299999999</v>
          </cell>
          <cell r="L152">
            <v>1.0399309699999999</v>
          </cell>
          <cell r="M152">
            <v>1.0398908</v>
          </cell>
          <cell r="N152">
            <v>1.0406574900000001</v>
          </cell>
        </row>
        <row r="153">
          <cell r="A153" t="str">
            <v>SXC3O</v>
          </cell>
          <cell r="B153" t="str">
            <v>SXC3OARS</v>
          </cell>
          <cell r="C153" t="str">
            <v>ON Tier 1 - TAMAR ON</v>
          </cell>
          <cell r="D153">
            <v>125.08752607495585</v>
          </cell>
          <cell r="E153">
            <v>1.0340499700000001</v>
          </cell>
          <cell r="F153">
            <v>1.03475772</v>
          </cell>
          <cell r="G153">
            <v>1.0348984400000001</v>
          </cell>
          <cell r="H153">
            <v>1.03447578</v>
          </cell>
          <cell r="I153">
            <v>1.0357742599999999</v>
          </cell>
          <cell r="J153">
            <v>1.03770162195961</v>
          </cell>
          <cell r="K153">
            <v>1.04125154</v>
          </cell>
          <cell r="L153">
            <v>1.0418843600000001</v>
          </cell>
          <cell r="M153">
            <v>1.0418474499999999</v>
          </cell>
          <cell r="N153">
            <v>1.0426073899999999</v>
          </cell>
        </row>
        <row r="154">
          <cell r="A154" t="str">
            <v>BF41O</v>
          </cell>
          <cell r="B154" t="str">
            <v>BF41OARS</v>
          </cell>
          <cell r="C154" t="str">
            <v>ON Tier 1 - TAMAR ON</v>
          </cell>
          <cell r="D154">
            <v>134.23036345974589</v>
          </cell>
          <cell r="E154">
            <v>1.0248740000000001</v>
          </cell>
          <cell r="F154">
            <v>1.02548766</v>
          </cell>
          <cell r="G154">
            <v>1.0256691600000001</v>
          </cell>
          <cell r="H154">
            <v>1.02515906</v>
          </cell>
          <cell r="I154">
            <v>1.0265475500000001</v>
          </cell>
          <cell r="J154">
            <v>1.0284676500000001</v>
          </cell>
          <cell r="K154">
            <v>1.0320016299999999</v>
          </cell>
          <cell r="L154">
            <v>1.0326270399999999</v>
          </cell>
          <cell r="M154">
            <v>1.03256036</v>
          </cell>
          <cell r="N154">
            <v>1.0333524999999999</v>
          </cell>
        </row>
        <row r="155">
          <cell r="A155" t="str">
            <v>ICC5O</v>
          </cell>
          <cell r="B155" t="str">
            <v>ICC5OARS</v>
          </cell>
          <cell r="C155" t="str">
            <v>ON Tier 1 - TAMAR ON</v>
          </cell>
          <cell r="D155">
            <v>141.2404909000015</v>
          </cell>
          <cell r="E155">
            <v>1.0195099599999999</v>
          </cell>
          <cell r="F155">
            <v>1.02005539</v>
          </cell>
          <cell r="G155">
            <v>1.0202642099999999</v>
          </cell>
          <cell r="H155">
            <v>1.0196801200000001</v>
          </cell>
          <cell r="I155">
            <v>1.0211388299999999</v>
          </cell>
          <cell r="J155">
            <v>1.0238</v>
          </cell>
          <cell r="K155">
            <v>1.02657624</v>
          </cell>
          <cell r="L155">
            <v>1.02720042</v>
          </cell>
          <cell r="M155">
            <v>1.0249474700000001</v>
          </cell>
          <cell r="N155">
            <v>1.0276000000000001</v>
          </cell>
        </row>
        <row r="156">
          <cell r="A156" t="str">
            <v>BNCXO</v>
          </cell>
          <cell r="B156" t="str">
            <v>BNCXOARS</v>
          </cell>
          <cell r="C156" t="str">
            <v>ON Tier 1 - TAMAR ON</v>
          </cell>
          <cell r="D156">
            <v>177.9513471356116</v>
          </cell>
          <cell r="E156">
            <v>1.0506826199999999</v>
          </cell>
          <cell r="F156">
            <v>1.0510702300000001</v>
          </cell>
          <cell r="G156">
            <v>1.0514526</v>
          </cell>
          <cell r="H156">
            <v>1.0504746899999999</v>
          </cell>
          <cell r="I156">
            <v>1.0524849999999999</v>
          </cell>
          <cell r="J156">
            <v>1.05428879</v>
          </cell>
          <cell r="K156">
            <v>1.05789022</v>
          </cell>
          <cell r="L156">
            <v>1.0585499</v>
          </cell>
          <cell r="M156">
            <v>1.05843607</v>
          </cell>
          <cell r="N156">
            <v>1.0595428499999999</v>
          </cell>
        </row>
        <row r="157">
          <cell r="A157" t="str">
            <v>NZC1O</v>
          </cell>
          <cell r="B157" t="str">
            <v>NZC1OARS</v>
          </cell>
          <cell r="C157" t="str">
            <v>ON Tier 1 - TAMAR ON</v>
          </cell>
          <cell r="D157">
            <v>190.48906045681636</v>
          </cell>
          <cell r="E157">
            <v>1.0470906900000001</v>
          </cell>
          <cell r="F157">
            <v>1.04725717</v>
          </cell>
          <cell r="G157">
            <v>1.0478449599999999</v>
          </cell>
          <cell r="H157">
            <v>1.0449999999999999</v>
          </cell>
          <cell r="I157">
            <v>1.0490999999999999</v>
          </cell>
          <cell r="J157">
            <v>1.0506594600000001</v>
          </cell>
          <cell r="K157">
            <v>1.0528</v>
          </cell>
          <cell r="L157">
            <v>1.05490405</v>
          </cell>
          <cell r="M157">
            <v>1.05477927</v>
          </cell>
          <cell r="N157">
            <v>1.0559662299999999</v>
          </cell>
        </row>
        <row r="158">
          <cell r="A158" t="str">
            <v>SXC6O</v>
          </cell>
          <cell r="B158" t="str">
            <v>SXC6OARS</v>
          </cell>
          <cell r="C158" t="str">
            <v>ON Tier 1 - TAMAR ON</v>
          </cell>
          <cell r="D158">
            <v>198.09992444186202</v>
          </cell>
          <cell r="E158">
            <v>1.03323871</v>
          </cell>
          <cell r="F158">
            <v>1.03360279</v>
          </cell>
          <cell r="G158">
            <v>1.0339817</v>
          </cell>
          <cell r="H158">
            <v>1.03285022</v>
          </cell>
          <cell r="I158">
            <v>1.0350642800000001</v>
          </cell>
          <cell r="J158">
            <v>1.0367554999999999</v>
          </cell>
          <cell r="K158">
            <v>1.0402834999999999</v>
          </cell>
          <cell r="L158">
            <v>1.0409401199999999</v>
          </cell>
          <cell r="M158">
            <v>1.0408089199999999</v>
          </cell>
          <cell r="N158">
            <v>1.04203168</v>
          </cell>
        </row>
        <row r="159">
          <cell r="A159" t="str">
            <v>BF46O</v>
          </cell>
          <cell r="B159" t="str">
            <v>BF46OARS</v>
          </cell>
          <cell r="C159" t="str">
            <v>ON Tier 1 - TAMAR ON</v>
          </cell>
          <cell r="D159">
            <v>201.23763364645228</v>
          </cell>
          <cell r="E159">
            <v>1.0324945999999999</v>
          </cell>
          <cell r="F159">
            <v>1.03286174</v>
          </cell>
          <cell r="G159">
            <v>1.0332386</v>
          </cell>
          <cell r="H159">
            <v>1.03208626</v>
          </cell>
          <cell r="I159">
            <v>1.0343351199999999</v>
          </cell>
          <cell r="J159">
            <v>1.0360115700000001</v>
          </cell>
          <cell r="K159">
            <v>1.03953439</v>
          </cell>
          <cell r="L159">
            <v>1.0401907500000001</v>
          </cell>
          <cell r="M159">
            <v>1.0400550900000001</v>
          </cell>
          <cell r="N159">
            <v>1.04129808</v>
          </cell>
        </row>
        <row r="160">
          <cell r="A160" t="str">
            <v>BF47O</v>
          </cell>
          <cell r="B160" t="str">
            <v>BF47OARS</v>
          </cell>
          <cell r="C160" t="str">
            <v>ON Tier 1 - TAMAR ON</v>
          </cell>
          <cell r="D160">
            <v>221.00033268703746</v>
          </cell>
          <cell r="E160">
            <v>1.0167578799999999</v>
          </cell>
          <cell r="F160">
            <v>1.017188</v>
          </cell>
          <cell r="G160">
            <v>1.0175097099999999</v>
          </cell>
          <cell r="H160">
            <v>1.0162259899999999</v>
          </cell>
          <cell r="I160">
            <v>1.0186659300000001</v>
          </cell>
          <cell r="J160">
            <v>1.0201949100000001</v>
          </cell>
          <cell r="K160">
            <v>1.0263965799999999</v>
          </cell>
          <cell r="L160">
            <v>1.0242925300000001</v>
          </cell>
          <cell r="M160">
            <v>1.0241639899999999</v>
          </cell>
          <cell r="N160">
            <v>1.02553563</v>
          </cell>
        </row>
        <row r="161">
          <cell r="A161" t="str">
            <v>BYY1O</v>
          </cell>
          <cell r="B161" t="str">
            <v>BYY1OARS</v>
          </cell>
          <cell r="C161" t="str">
            <v>ON Tier 1 - TAMAR ON</v>
          </cell>
          <cell r="D161">
            <v>218.02415681339136</v>
          </cell>
          <cell r="E161">
            <v>1.0204169700000001</v>
          </cell>
          <cell r="F161">
            <v>1.0215998500000001</v>
          </cell>
          <cell r="G161">
            <v>1.02117098</v>
          </cell>
          <cell r="H161">
            <v>1.0199084700000001</v>
          </cell>
          <cell r="I161">
            <v>1.02232514</v>
          </cell>
          <cell r="J161">
            <v>1.0238800699999999</v>
          </cell>
          <cell r="K161">
            <v>1.0273345899999999</v>
          </cell>
          <cell r="L161">
            <v>1.02799375</v>
          </cell>
          <cell r="M161">
            <v>1.02785967</v>
          </cell>
          <cell r="N161">
            <v>1.0292133800000001</v>
          </cell>
        </row>
        <row r="162">
          <cell r="A162" t="str">
            <v>ICC7O</v>
          </cell>
          <cell r="B162" t="str">
            <v>ICC7OARS</v>
          </cell>
          <cell r="C162" t="str">
            <v>ON Tier 1 - TAMAR ON</v>
          </cell>
          <cell r="D162">
            <v>228.0021919812655</v>
          </cell>
          <cell r="E162">
            <v>1.0113224000000001</v>
          </cell>
          <cell r="F162">
            <v>1.01179408</v>
          </cell>
          <cell r="G162">
            <v>1.01208711</v>
          </cell>
          <cell r="H162">
            <v>1.0107678200000001</v>
          </cell>
          <cell r="I162">
            <v>1.01327382</v>
          </cell>
          <cell r="J162">
            <v>1.0147453900000001</v>
          </cell>
          <cell r="K162">
            <v>1.01814881</v>
          </cell>
          <cell r="L162">
            <v>1.0188102699999999</v>
          </cell>
          <cell r="M162">
            <v>1.0186833900000001</v>
          </cell>
          <cell r="N162">
            <v>1.0201025399999999</v>
          </cell>
        </row>
        <row r="163">
          <cell r="A163" t="str">
            <v>SXC8O</v>
          </cell>
          <cell r="B163" t="str">
            <v>SXC8OARS</v>
          </cell>
          <cell r="C163" t="str">
            <v>ON Tier 1 - TAMAR ON</v>
          </cell>
          <cell r="D163">
            <v>278.44597345535038</v>
          </cell>
          <cell r="E163">
            <v>1.0350553899999999</v>
          </cell>
          <cell r="F163">
            <v>1.0365893900000001</v>
          </cell>
          <cell r="G163">
            <v>1.0361638900000001</v>
          </cell>
          <cell r="H163">
            <v>1.0346907700000001</v>
          </cell>
          <cell r="I163">
            <v>1.03775387</v>
          </cell>
          <cell r="J163">
            <v>1.0386363300000001</v>
          </cell>
          <cell r="K163">
            <v>1.04189156</v>
          </cell>
          <cell r="L163">
            <v>1.04262736</v>
          </cell>
          <cell r="M163">
            <v>1.04262557</v>
          </cell>
          <cell r="N163">
            <v>1.0445905</v>
          </cell>
        </row>
        <row r="164">
          <cell r="A164" t="str">
            <v>BNCYO</v>
          </cell>
          <cell r="B164" t="str">
            <v>BNCYOARS</v>
          </cell>
          <cell r="C164" t="str">
            <v>ON Tier 1 - TAMAR ON</v>
          </cell>
          <cell r="D164">
            <v>233.99194897636173</v>
          </cell>
          <cell r="E164">
            <v>1.00674938</v>
          </cell>
          <cell r="F164">
            <v>1.0072638300000001</v>
          </cell>
          <cell r="G164">
            <v>1.0075251700000001</v>
          </cell>
          <cell r="H164">
            <v>1.0061761499999999</v>
          </cell>
          <cell r="I164">
            <v>1.0087365500000001</v>
          </cell>
          <cell r="J164">
            <v>1.01015685</v>
          </cell>
          <cell r="K164">
            <v>1.0135312599999999</v>
          </cell>
          <cell r="L164">
            <v>1.01419393</v>
          </cell>
          <cell r="M164">
            <v>1.01407077</v>
          </cell>
          <cell r="N164">
            <v>1.01553128</v>
          </cell>
        </row>
        <row r="165">
          <cell r="A165" t="str">
            <v>NZC4O</v>
          </cell>
          <cell r="B165" t="str">
            <v>NZC4OARS</v>
          </cell>
          <cell r="C165" t="str">
            <v>ON Tier 1 - TAMAR ON</v>
          </cell>
          <cell r="D165">
            <v>254.96667873241395</v>
          </cell>
          <cell r="E165">
            <v>1.0578316800000001</v>
          </cell>
          <cell r="F165">
            <v>1.0589999999999999</v>
          </cell>
          <cell r="G165">
            <v>1.05882571</v>
          </cell>
          <cell r="H165">
            <v>1.0574222900000001</v>
          </cell>
          <cell r="I165">
            <v>1.0602251</v>
          </cell>
          <cell r="J165">
            <v>1.0615025600000001</v>
          </cell>
          <cell r="K165">
            <v>1.06495874</v>
          </cell>
          <cell r="L165">
            <v>0.99809844000000003</v>
          </cell>
          <cell r="M165">
            <v>0.99909999999999999</v>
          </cell>
          <cell r="N165">
            <v>0.99960552000000003</v>
          </cell>
        </row>
        <row r="166">
          <cell r="A166" t="str">
            <v>PWC1O</v>
          </cell>
          <cell r="B166" t="str">
            <v>PWC1OARS</v>
          </cell>
          <cell r="C166" t="str">
            <v>ON Tier 1 - TAMAR ON</v>
          </cell>
          <cell r="D166">
            <v>302.74466622320466</v>
          </cell>
          <cell r="E166">
            <v>1.01324481</v>
          </cell>
          <cell r="F166">
            <v>1.0150165</v>
          </cell>
          <cell r="G166">
            <v>1.0167444699999999</v>
          </cell>
          <cell r="H166">
            <v>1.0130270400000001</v>
          </cell>
          <cell r="I166">
            <v>1.01619806</v>
          </cell>
          <cell r="J166">
            <v>1.0167948899999999</v>
          </cell>
          <cell r="K166">
            <v>1.0184</v>
          </cell>
          <cell r="L166">
            <v>1.0206278499999999</v>
          </cell>
          <cell r="M166">
            <v>1.02066981</v>
          </cell>
          <cell r="N166">
            <v>1.0228161899999999</v>
          </cell>
        </row>
        <row r="167">
          <cell r="A167" t="str">
            <v>T661O</v>
          </cell>
          <cell r="B167" t="str">
            <v>T661OARS</v>
          </cell>
          <cell r="C167" t="str">
            <v>ON Tier 2 - TAMAR ON</v>
          </cell>
          <cell r="D167">
            <v>46.000000000013152</v>
          </cell>
          <cell r="E167">
            <v>1.0286640499999999</v>
          </cell>
          <cell r="F167">
            <v>1.0309073099999999</v>
          </cell>
          <cell r="G167">
            <v>1.0311821800000001</v>
          </cell>
          <cell r="H167">
            <v>1.0351999999999999</v>
          </cell>
          <cell r="I167">
            <v>1.0330999999999999</v>
          </cell>
          <cell r="J167">
            <v>1.03376025</v>
          </cell>
          <cell r="K167">
            <v>1.0368820999999999</v>
          </cell>
          <cell r="L167">
            <v>1.0376017399999999</v>
          </cell>
          <cell r="M167">
            <v>1.03810056</v>
          </cell>
          <cell r="N167">
            <v>1.0384274099999999</v>
          </cell>
        </row>
        <row r="168">
          <cell r="A168" t="str">
            <v>VWCDO</v>
          </cell>
          <cell r="B168" t="str">
            <v>VWCDOARS</v>
          </cell>
          <cell r="C168" t="str">
            <v>ON Tier 2 - TAMAR ON</v>
          </cell>
          <cell r="D168">
            <v>57.000000000005898</v>
          </cell>
          <cell r="E168">
            <v>1.0193679</v>
          </cell>
          <cell r="F168">
            <v>1.0215833599999999</v>
          </cell>
          <cell r="G168">
            <v>1.0218798499999999</v>
          </cell>
          <cell r="H168">
            <v>1.0221662</v>
          </cell>
          <cell r="I168">
            <v>1.0232391000000001</v>
          </cell>
          <cell r="J168">
            <v>1.0244594300000001</v>
          </cell>
          <cell r="K168">
            <v>1.0276504900000001</v>
          </cell>
          <cell r="L168">
            <v>1.0283616799999999</v>
          </cell>
          <cell r="M168">
            <v>1.0288109400000001</v>
          </cell>
          <cell r="N168">
            <v>1.0290652199999999</v>
          </cell>
        </row>
        <row r="169">
          <cell r="A169" t="str">
            <v>PS35O</v>
          </cell>
          <cell r="B169" t="str">
            <v>PS35OARS</v>
          </cell>
          <cell r="C169" t="str">
            <v>ON Tier 2 - TAMAR ON</v>
          </cell>
          <cell r="D169">
            <v>67.00000000001225</v>
          </cell>
          <cell r="E169">
            <v>1.0128486400000001</v>
          </cell>
          <cell r="F169">
            <v>1.01503195</v>
          </cell>
          <cell r="G169">
            <v>1.01535994</v>
          </cell>
          <cell r="H169">
            <v>1.01555551</v>
          </cell>
          <cell r="I169">
            <v>1.0167351200000001</v>
          </cell>
          <cell r="J169">
            <v>1.0179764099999999</v>
          </cell>
          <cell r="K169">
            <v>1.02118164</v>
          </cell>
          <cell r="L169">
            <v>1.0218905899999999</v>
          </cell>
          <cell r="M169">
            <v>1.0223061499999999</v>
          </cell>
          <cell r="N169">
            <v>1.0225028300000001</v>
          </cell>
        </row>
        <row r="170">
          <cell r="A170" t="str">
            <v>T671O</v>
          </cell>
          <cell r="B170" t="str">
            <v>T671OARS</v>
          </cell>
          <cell r="C170" t="str">
            <v>ON Tier 2 - TAMAR ON</v>
          </cell>
          <cell r="D170">
            <v>203.18689838732621</v>
          </cell>
          <cell r="E170">
            <v>1.0354251400000001</v>
          </cell>
          <cell r="F170">
            <v>1.0379893099999999</v>
          </cell>
          <cell r="G170">
            <v>1.03937971</v>
          </cell>
          <cell r="H170">
            <v>1.0403</v>
          </cell>
          <cell r="I170">
            <v>1.0410048300000001</v>
          </cell>
          <cell r="J170">
            <v>1.04221304</v>
          </cell>
          <cell r="K170">
            <v>1.0454083599999999</v>
          </cell>
          <cell r="L170">
            <v>1.0462758299999999</v>
          </cell>
          <cell r="M170">
            <v>1.0467737100000001</v>
          </cell>
          <cell r="N170">
            <v>1.0468067700000001</v>
          </cell>
        </row>
        <row r="171">
          <cell r="A171" t="str">
            <v>DEC3O</v>
          </cell>
          <cell r="B171" t="str">
            <v>DEC3OARS</v>
          </cell>
          <cell r="C171" t="str">
            <v>ON Tier 3 - TAMAR ON</v>
          </cell>
          <cell r="D171">
            <v>244.39317625628493</v>
          </cell>
          <cell r="E171">
            <v>1.0714999999999999</v>
          </cell>
          <cell r="F171">
            <v>0.99983690999999997</v>
          </cell>
          <cell r="G171">
            <v>1.0017117</v>
          </cell>
          <cell r="H171">
            <v>1.00201685</v>
          </cell>
          <cell r="I171">
            <v>1.00281606</v>
          </cell>
          <cell r="J171">
            <v>1.0061947499999999</v>
          </cell>
          <cell r="K171">
            <v>1.0088706300000001</v>
          </cell>
          <cell r="L171">
            <v>1.00978598</v>
          </cell>
          <cell r="M171">
            <v>1.0104558699999999</v>
          </cell>
          <cell r="N171">
            <v>1.0119178799999999</v>
          </cell>
        </row>
        <row r="172">
          <cell r="A172" t="str">
            <v>PVC6O</v>
          </cell>
          <cell r="B172" t="str">
            <v>PVC6OARS</v>
          </cell>
          <cell r="C172" t="str">
            <v>ON Tier 2 - TAMAR ON</v>
          </cell>
          <cell r="D172">
            <v>218.65755127870165</v>
          </cell>
          <cell r="E172">
            <v>1.0182649399999999</v>
          </cell>
          <cell r="F172">
            <v>1.02098409</v>
          </cell>
          <cell r="G172">
            <v>1.0189999999999999</v>
          </cell>
          <cell r="H172">
            <v>1.0226999999999999</v>
          </cell>
          <cell r="I172">
            <v>1.0248675899999999</v>
          </cell>
          <cell r="J172">
            <v>1.0245</v>
          </cell>
          <cell r="K172">
            <v>1.0282337800000001</v>
          </cell>
          <cell r="L172">
            <v>1.0291127200000001</v>
          </cell>
          <cell r="M172">
            <v>1.0296504200000001</v>
          </cell>
          <cell r="N172">
            <v>1.0297029099999999</v>
          </cell>
        </row>
        <row r="173">
          <cell r="A173" t="str">
            <v>DHSLO</v>
          </cell>
          <cell r="B173" t="str">
            <v>DHSLOARS</v>
          </cell>
          <cell r="C173" t="str">
            <v>ON Tier 3 - TAMAR ON</v>
          </cell>
          <cell r="D173">
            <v>207.15535127391971</v>
          </cell>
          <cell r="E173">
            <v>1.0223244499999999</v>
          </cell>
          <cell r="F173">
            <v>1.0240561800000001</v>
          </cell>
          <cell r="G173">
            <v>1.02549713</v>
          </cell>
          <cell r="H173">
            <v>1.0257971299999999</v>
          </cell>
          <cell r="I173">
            <v>1.02648826</v>
          </cell>
          <cell r="J173">
            <v>1.0299164599999999</v>
          </cell>
          <cell r="K173">
            <v>1.0328738399999999</v>
          </cell>
          <cell r="L173">
            <v>1.0337551899999999</v>
          </cell>
          <cell r="M173">
            <v>1.0343106</v>
          </cell>
          <cell r="N173">
            <v>1.0355306799999999</v>
          </cell>
        </row>
        <row r="174">
          <cell r="A174"/>
          <cell r="B174"/>
          <cell r="C174"/>
          <cell r="D174"/>
        </row>
        <row r="175">
          <cell r="A175" t="str">
            <v>Obligaciones Negociables Tasa Fija - Tamar</v>
          </cell>
          <cell r="B175"/>
          <cell r="C175"/>
          <cell r="D175"/>
        </row>
        <row r="176">
          <cell r="A176"/>
          <cell r="B176"/>
          <cell r="C176"/>
          <cell r="D176"/>
        </row>
        <row r="177">
          <cell r="A177" t="str">
            <v>DHSNO</v>
          </cell>
          <cell r="B177" t="str">
            <v>DHSNOARS</v>
          </cell>
          <cell r="C177" t="str">
            <v>ON Tier 3 - TAMAR ON</v>
          </cell>
          <cell r="D177">
            <v>270.95498129341979</v>
          </cell>
          <cell r="E177">
            <v>1.02919688</v>
          </cell>
          <cell r="F177">
            <v>1.03228487</v>
          </cell>
          <cell r="G177">
            <v>1.0333645</v>
          </cell>
          <cell r="H177">
            <v>1.0338503800000001</v>
          </cell>
          <cell r="I177">
            <v>1.03472264</v>
          </cell>
          <cell r="J177">
            <v>1.0380088999999999</v>
          </cell>
          <cell r="K177">
            <v>1.0405096700000001</v>
          </cell>
          <cell r="L177">
            <v>1.04151094</v>
          </cell>
          <cell r="M177">
            <v>1.0423825200000001</v>
          </cell>
          <cell r="N177">
            <v>1.044184</v>
          </cell>
        </row>
        <row r="178">
          <cell r="A178"/>
          <cell r="B178"/>
          <cell r="C178"/>
          <cell r="D178"/>
        </row>
        <row r="179">
          <cell r="A179" t="str">
            <v>Obligaciones Negociables UVA</v>
          </cell>
          <cell r="B179"/>
          <cell r="C179"/>
          <cell r="D179"/>
        </row>
        <row r="180">
          <cell r="A180"/>
          <cell r="B180"/>
          <cell r="C180"/>
          <cell r="D180"/>
        </row>
        <row r="181">
          <cell r="A181" t="str">
            <v>SNSDP</v>
          </cell>
          <cell r="B181" t="str">
            <v>SNSDPARS</v>
          </cell>
          <cell r="C181" t="str">
            <v>ON Tier 3 UVA - Tasa Fija Pesos CER</v>
          </cell>
          <cell r="D181">
            <v>17.999999999999748</v>
          </cell>
          <cell r="E181">
            <v>723.55365147999998</v>
          </cell>
          <cell r="F181">
            <v>723.44951637999998</v>
          </cell>
          <cell r="G181">
            <v>724.97597323000002</v>
          </cell>
          <cell r="H181">
            <v>725.34345769000004</v>
          </cell>
          <cell r="I181">
            <v>725.67830426</v>
          </cell>
          <cell r="J181">
            <v>726.26108864000003</v>
          </cell>
          <cell r="K181">
            <v>726.84871115999999</v>
          </cell>
          <cell r="L181">
            <v>728.29265477000001</v>
          </cell>
          <cell r="M181">
            <v>728.78515178999999</v>
          </cell>
          <cell r="N181">
            <v>729.26271441999995</v>
          </cell>
        </row>
        <row r="182">
          <cell r="A182" t="str">
            <v>NZC3O</v>
          </cell>
          <cell r="B182" t="str">
            <v>NZC3OARS</v>
          </cell>
          <cell r="C182" t="str">
            <v>ON Tier 1 UVA - Tasa Fija Pesos CER</v>
          </cell>
          <cell r="D182">
            <v>377.62364406371177</v>
          </cell>
          <cell r="E182">
            <v>2103.6409136299999</v>
          </cell>
          <cell r="F182">
            <v>2092.7225803699998</v>
          </cell>
          <cell r="G182">
            <v>2102.48224914</v>
          </cell>
          <cell r="H182">
            <v>2100</v>
          </cell>
          <cell r="I182">
            <v>2104.2178866499999</v>
          </cell>
          <cell r="J182">
            <v>2107.7250192000001</v>
          </cell>
          <cell r="K182">
            <v>2110.07355736</v>
          </cell>
          <cell r="L182">
            <v>2116.3930080199998</v>
          </cell>
          <cell r="M182">
            <v>2113.8288562500002</v>
          </cell>
          <cell r="N182">
            <v>2118.5280772699998</v>
          </cell>
        </row>
        <row r="183">
          <cell r="A183" t="str">
            <v>COC5O</v>
          </cell>
          <cell r="B183" t="str">
            <v>COC5OARS</v>
          </cell>
          <cell r="C183" t="str">
            <v>ON Tier 2 UVA - Tasa Fija Pesos CER</v>
          </cell>
          <cell r="D183">
            <v>457.70781644576499</v>
          </cell>
          <cell r="E183">
            <v>2128.6916099499999</v>
          </cell>
          <cell r="F183">
            <v>2117.3650971100001</v>
          </cell>
          <cell r="G183">
            <v>2125.54284981</v>
          </cell>
          <cell r="H183">
            <v>2137.9085052300002</v>
          </cell>
          <cell r="I183">
            <v>2130.7596506700002</v>
          </cell>
          <cell r="J183">
            <v>2134.2656509200001</v>
          </cell>
          <cell r="K183">
            <v>2137.3212829700001</v>
          </cell>
          <cell r="L183">
            <v>2141.0043724500001</v>
          </cell>
          <cell r="M183">
            <v>2140.5396022999998</v>
          </cell>
          <cell r="N183">
            <v>2146.28289739</v>
          </cell>
        </row>
        <row r="184">
          <cell r="A184" t="str">
            <v>MRCTO</v>
          </cell>
          <cell r="B184" t="str">
            <v>MRCTOARS</v>
          </cell>
          <cell r="C184" t="e">
            <v>#N/A</v>
          </cell>
          <cell r="D184" t="e">
            <v>#N/A</v>
          </cell>
          <cell r="E184">
            <v>433.22868</v>
          </cell>
          <cell r="F184">
            <v>433.22868</v>
          </cell>
          <cell r="G184">
            <v>433.22868</v>
          </cell>
          <cell r="H184">
            <v>433.22868</v>
          </cell>
          <cell r="I184">
            <v>433.22868</v>
          </cell>
          <cell r="J184">
            <v>433.22868</v>
          </cell>
          <cell r="K184">
            <v>433.22868</v>
          </cell>
          <cell r="L184">
            <v>433.22868</v>
          </cell>
          <cell r="M184">
            <v>433.22868</v>
          </cell>
          <cell r="N184">
            <v>433.22868</v>
          </cell>
        </row>
        <row r="185">
          <cell r="A185"/>
          <cell r="B185"/>
          <cell r="C185"/>
          <cell r="D185"/>
        </row>
        <row r="186">
          <cell r="A186" t="str">
            <v>Obligaciones Negociables Hard USD - Ley Argentina</v>
          </cell>
          <cell r="B186"/>
          <cell r="C186"/>
          <cell r="D186"/>
        </row>
        <row r="187">
          <cell r="A187"/>
          <cell r="B187"/>
          <cell r="C187"/>
          <cell r="D187"/>
        </row>
        <row r="188">
          <cell r="A188" t="str">
            <v>VE2LD</v>
          </cell>
          <cell r="B188" t="str">
            <v>VE2LDUSM</v>
          </cell>
          <cell r="C188" t="str">
            <v>ON PyME Gar - Tasa Fija USD Ley Argentina ON</v>
          </cell>
          <cell r="D188">
            <v>445.23310786030885</v>
          </cell>
          <cell r="E188">
            <v>0.99113883000000003</v>
          </cell>
          <cell r="F188">
            <v>0.99204508999999996</v>
          </cell>
          <cell r="G188">
            <v>0.99317151999999997</v>
          </cell>
          <cell r="H188">
            <v>0.99515142999999995</v>
          </cell>
          <cell r="I188">
            <v>0.99340978999999996</v>
          </cell>
          <cell r="J188">
            <v>0.99551067000000004</v>
          </cell>
          <cell r="K188">
            <v>0.99532651000000005</v>
          </cell>
          <cell r="L188">
            <v>0.99514579999999997</v>
          </cell>
          <cell r="M188">
            <v>0.99501465</v>
          </cell>
          <cell r="N188">
            <v>0.99539613999999998</v>
          </cell>
        </row>
        <row r="189">
          <cell r="A189" t="str">
            <v>NA1LD</v>
          </cell>
          <cell r="B189" t="str">
            <v>NA1LDUSM</v>
          </cell>
          <cell r="C189" t="str">
            <v>ON PyME Gar - Tasa Fija USD Ley Argentina ON</v>
          </cell>
          <cell r="D189">
            <v>518.24875608844241</v>
          </cell>
          <cell r="E189">
            <v>0.98080634</v>
          </cell>
          <cell r="F189">
            <v>0.98171090999999999</v>
          </cell>
          <cell r="G189">
            <v>0.98260438999999999</v>
          </cell>
          <cell r="H189">
            <v>0.98541597999999997</v>
          </cell>
          <cell r="I189">
            <v>0.96913205000000002</v>
          </cell>
          <cell r="J189">
            <v>0.97153392999999999</v>
          </cell>
          <cell r="K189">
            <v>0.97193826000000005</v>
          </cell>
          <cell r="L189">
            <v>0.97171328999999995</v>
          </cell>
          <cell r="M189">
            <v>0.97134748000000004</v>
          </cell>
          <cell r="N189">
            <v>0.97145917000000004</v>
          </cell>
        </row>
        <row r="190">
          <cell r="A190" t="str">
            <v>OR1LD</v>
          </cell>
          <cell r="B190" t="str">
            <v>OR1LDUSM</v>
          </cell>
          <cell r="C190" t="str">
            <v>ON PyME Gar - Tasa Fija USD Ley Argentina ON</v>
          </cell>
          <cell r="D190">
            <v>541.37386365557336</v>
          </cell>
          <cell r="E190">
            <v>0.97944111</v>
          </cell>
          <cell r="F190">
            <v>0.98000485999999998</v>
          </cell>
          <cell r="G190">
            <v>0.98089614000000003</v>
          </cell>
          <cell r="H190">
            <v>0.98348972999999995</v>
          </cell>
          <cell r="I190">
            <v>0.98108645000000005</v>
          </cell>
          <cell r="J190">
            <v>0.98358643999999995</v>
          </cell>
          <cell r="K190">
            <v>0.98437527000000002</v>
          </cell>
          <cell r="L190">
            <v>0.98406587999999995</v>
          </cell>
          <cell r="M190">
            <v>0.98376483000000003</v>
          </cell>
          <cell r="N190">
            <v>0.98370358000000002</v>
          </cell>
        </row>
        <row r="191">
          <cell r="A191" t="str">
            <v>BYCWD</v>
          </cell>
          <cell r="B191" t="str">
            <v>BYCWDUSM</v>
          </cell>
          <cell r="C191" t="str">
            <v>ON Tier 1 - Tasa Fija USD Ley Argentina ON</v>
          </cell>
          <cell r="D191">
            <v>46.000000000005848</v>
          </cell>
          <cell r="E191">
            <v>1.0299957399999999</v>
          </cell>
          <cell r="F191">
            <v>1.02979592</v>
          </cell>
          <cell r="G191">
            <v>1.03089795</v>
          </cell>
          <cell r="H191">
            <v>1.0290202900000001</v>
          </cell>
          <cell r="I191">
            <v>1.03033945</v>
          </cell>
          <cell r="J191">
            <v>1.0304717400000001</v>
          </cell>
          <cell r="K191">
            <v>1.02938018</v>
          </cell>
          <cell r="L191">
            <v>1.0293151300000001</v>
          </cell>
          <cell r="M191">
            <v>1.0299484400000001</v>
          </cell>
          <cell r="N191">
            <v>1.03051501</v>
          </cell>
        </row>
        <row r="192">
          <cell r="A192" t="str">
            <v>BYCXD</v>
          </cell>
          <cell r="B192" t="str">
            <v>BYCXDUSM</v>
          </cell>
          <cell r="C192" t="str">
            <v>ON Tier 1 - Tasa Fija USD Ley Argentina ON</v>
          </cell>
          <cell r="D192">
            <v>75.999999999973809</v>
          </cell>
          <cell r="E192">
            <v>1.0236177799999999</v>
          </cell>
          <cell r="F192">
            <v>1.02336585</v>
          </cell>
          <cell r="G192">
            <v>1.02486644</v>
          </cell>
          <cell r="H192">
            <v>1.0223867</v>
          </cell>
          <cell r="I192">
            <v>1.0241078800000001</v>
          </cell>
          <cell r="J192">
            <v>1.0243262900000001</v>
          </cell>
          <cell r="K192">
            <v>1.0226824400000001</v>
          </cell>
          <cell r="L192">
            <v>1.0225602499999999</v>
          </cell>
          <cell r="M192">
            <v>1.0234306500000001</v>
          </cell>
          <cell r="N192">
            <v>1.0242492000000001</v>
          </cell>
        </row>
        <row r="193">
          <cell r="A193" t="str">
            <v>YM41D</v>
          </cell>
          <cell r="B193" t="str">
            <v>YM41DUSM</v>
          </cell>
          <cell r="C193" t="str">
            <v>YM41O - Z-Spread D</v>
          </cell>
          <cell r="D193">
            <v>84.999999999986457</v>
          </cell>
          <cell r="E193">
            <v>1.0180864599999999</v>
          </cell>
          <cell r="F193">
            <v>1.0179984</v>
          </cell>
          <cell r="G193">
            <v>1.0196343999999999</v>
          </cell>
          <cell r="H193">
            <v>1.01713951</v>
          </cell>
          <cell r="I193">
            <v>1.0038541999999999</v>
          </cell>
          <cell r="J193">
            <v>1.0041617199999999</v>
          </cell>
          <cell r="K193">
            <v>1.0026690599999999</v>
          </cell>
          <cell r="L193">
            <v>1.00259959</v>
          </cell>
          <cell r="M193">
            <v>1.0035715000000001</v>
          </cell>
          <cell r="N193">
            <v>1.00450185</v>
          </cell>
        </row>
        <row r="194">
          <cell r="A194" t="str">
            <v>YM37D</v>
          </cell>
          <cell r="B194" t="str">
            <v>YM37DUSM</v>
          </cell>
          <cell r="C194" t="str">
            <v>YM37O - Z-Spread D</v>
          </cell>
          <cell r="D194">
            <v>199.45700518066934</v>
          </cell>
          <cell r="E194">
            <v>1.0331373800000001</v>
          </cell>
          <cell r="F194">
            <v>1.033153</v>
          </cell>
          <cell r="G194">
            <v>1.0284476199999999</v>
          </cell>
          <cell r="H194">
            <v>1.0258129300000001</v>
          </cell>
          <cell r="I194">
            <v>1.02755532</v>
          </cell>
          <cell r="J194">
            <v>1.0283320199999999</v>
          </cell>
          <cell r="K194">
            <v>1.02580739</v>
          </cell>
          <cell r="L194">
            <v>1.0369999999999999</v>
          </cell>
          <cell r="M194">
            <v>1.0299739699999999</v>
          </cell>
          <cell r="N194">
            <v>1.03122724</v>
          </cell>
        </row>
        <row r="195">
          <cell r="A195" t="str">
            <v>YFCMD</v>
          </cell>
          <cell r="B195" t="str">
            <v>YFCMDUSM</v>
          </cell>
          <cell r="C195" t="str">
            <v>YFCMO - Z-Spread D</v>
          </cell>
          <cell r="D195">
            <v>212.78004228483061</v>
          </cell>
          <cell r="E195">
            <v>1.02409723</v>
          </cell>
          <cell r="F195">
            <v>1.0242175600000001</v>
          </cell>
          <cell r="G195">
            <v>1.0249999999999999</v>
          </cell>
          <cell r="H195">
            <v>1.02251274</v>
          </cell>
          <cell r="I195">
            <v>1.0241290300000001</v>
          </cell>
          <cell r="J195">
            <v>1.0249599</v>
          </cell>
          <cell r="K195">
            <v>1.02238531</v>
          </cell>
          <cell r="L195">
            <v>1.0221838000000001</v>
          </cell>
          <cell r="M195">
            <v>1.0232400699999999</v>
          </cell>
          <cell r="N195">
            <v>1.024551</v>
          </cell>
        </row>
        <row r="196">
          <cell r="A196" t="str">
            <v>PFC2D</v>
          </cell>
          <cell r="B196" t="str">
            <v>PFC2DUSM</v>
          </cell>
          <cell r="C196" t="str">
            <v>ON Tier 1 - Tasa Fija USD Ley Argentina ON</v>
          </cell>
          <cell r="D196">
            <v>265.72329048747207</v>
          </cell>
          <cell r="E196">
            <v>1.04216442</v>
          </cell>
          <cell r="F196">
            <v>1.0425093700000001</v>
          </cell>
          <cell r="G196">
            <v>1.0446612799999999</v>
          </cell>
          <cell r="H196">
            <v>1.04301804</v>
          </cell>
          <cell r="I196">
            <v>1.0440063900000001</v>
          </cell>
          <cell r="J196">
            <v>1.0451225900000001</v>
          </cell>
          <cell r="K196">
            <v>1.04252696</v>
          </cell>
          <cell r="L196">
            <v>1.0423038600000001</v>
          </cell>
          <cell r="M196">
            <v>1.04314967</v>
          </cell>
          <cell r="N196">
            <v>1.0444200400000001</v>
          </cell>
        </row>
        <row r="197">
          <cell r="A197" t="str">
            <v>YM38D</v>
          </cell>
          <cell r="B197" t="str">
            <v>YM38DUSM</v>
          </cell>
          <cell r="C197" t="str">
            <v>YM38O - Z-Spread D</v>
          </cell>
          <cell r="D197">
            <v>270.25149831033445</v>
          </cell>
          <cell r="E197">
            <v>1.03931116</v>
          </cell>
          <cell r="F197">
            <v>1.0450259500000001</v>
          </cell>
          <cell r="G197">
            <v>1.04250563</v>
          </cell>
          <cell r="H197">
            <v>1.04095147</v>
          </cell>
          <cell r="I197">
            <v>1.0522016700000001</v>
          </cell>
          <cell r="J197">
            <v>1.0532565899999999</v>
          </cell>
          <cell r="K197">
            <v>1.0434844299999999</v>
          </cell>
          <cell r="L197">
            <v>1.0470015800000001</v>
          </cell>
          <cell r="M197">
            <v>1.0477477399999999</v>
          </cell>
          <cell r="N197">
            <v>1.0459410099999999</v>
          </cell>
        </row>
        <row r="198">
          <cell r="A198" t="str">
            <v>PN38D</v>
          </cell>
          <cell r="B198" t="str">
            <v>PN38DUSM</v>
          </cell>
          <cell r="C198" t="str">
            <v>ON Tier 1 - Tasa Fija USD Ley Argentina ON</v>
          </cell>
          <cell r="D198">
            <v>294.32795646813236</v>
          </cell>
          <cell r="E198">
            <v>1.0302065600000001</v>
          </cell>
          <cell r="F198">
            <v>1.0306934400000001</v>
          </cell>
          <cell r="G198">
            <v>1.0327355300000001</v>
          </cell>
          <cell r="H198">
            <v>1.03164239</v>
          </cell>
          <cell r="I198">
            <v>1.0322182</v>
          </cell>
          <cell r="J198">
            <v>1.0334821657822</v>
          </cell>
          <cell r="K198">
            <v>1.0310423900000001</v>
          </cell>
          <cell r="L198">
            <v>1.0308263799999999</v>
          </cell>
          <cell r="M198">
            <v>1.0315222900000001</v>
          </cell>
          <cell r="N198">
            <v>1.0327240200000001</v>
          </cell>
        </row>
        <row r="199">
          <cell r="A199" t="str">
            <v>BYZ1D</v>
          </cell>
          <cell r="B199" t="str">
            <v>BYZ1DUSM</v>
          </cell>
          <cell r="C199" t="str">
            <v>ON Tier 1 - Tasa Fija USD Ley Argentina ON</v>
          </cell>
          <cell r="D199">
            <v>288.05882680721629</v>
          </cell>
          <cell r="E199">
            <v>1.00010971</v>
          </cell>
          <cell r="F199">
            <v>1.00054771</v>
          </cell>
          <cell r="G199">
            <v>1.0025637700000001</v>
          </cell>
          <cell r="H199">
            <v>1.0013563400000001</v>
          </cell>
          <cell r="I199">
            <v>1.0020248</v>
          </cell>
          <cell r="J199">
            <v>1.0032154799999999</v>
          </cell>
          <cell r="K199">
            <v>1.0007961999999999</v>
          </cell>
          <cell r="L199">
            <v>1.0005840699999999</v>
          </cell>
          <cell r="M199">
            <v>1.0013007599999999</v>
          </cell>
          <cell r="N199">
            <v>1.0024897399999999</v>
          </cell>
        </row>
        <row r="200">
          <cell r="A200" t="str">
            <v>BF40D</v>
          </cell>
          <cell r="B200" t="str">
            <v>BF40DUSM</v>
          </cell>
          <cell r="C200" t="str">
            <v>ON Tier 1 - Tasa Fija USD Ley Argentina ON</v>
          </cell>
          <cell r="D200">
            <v>311.62175865513836</v>
          </cell>
          <cell r="E200">
            <v>1.0128525399999999</v>
          </cell>
          <cell r="F200">
            <v>1.01341814</v>
          </cell>
          <cell r="G200">
            <v>1.01536432</v>
          </cell>
          <cell r="H200">
            <v>1.0146260899999999</v>
          </cell>
          <cell r="I200">
            <v>1.0149381099999999</v>
          </cell>
          <cell r="J200">
            <v>1.01627764</v>
          </cell>
          <cell r="K200">
            <v>1.0139727599999999</v>
          </cell>
          <cell r="L200">
            <v>1.0137636800000001</v>
          </cell>
          <cell r="M200">
            <v>1.0143572599999999</v>
          </cell>
          <cell r="N200">
            <v>1.0154980499999999</v>
          </cell>
        </row>
        <row r="201">
          <cell r="A201" t="str">
            <v>PN34D</v>
          </cell>
          <cell r="B201" t="str">
            <v>PN34DUSM</v>
          </cell>
          <cell r="C201" t="str">
            <v>ON Tier 1 - Tasa Fija USD Ley Argentina ON</v>
          </cell>
          <cell r="D201">
            <v>342.64092273525802</v>
          </cell>
          <cell r="K201">
            <v>1.0089548100000001</v>
          </cell>
          <cell r="L201">
            <v>1.0087545099999999</v>
          </cell>
          <cell r="M201">
            <v>1.0091613800000001</v>
          </cell>
          <cell r="N201">
            <v>1.0101973200000001</v>
          </cell>
        </row>
        <row r="202">
          <cell r="A202" t="str">
            <v>TTCBD</v>
          </cell>
          <cell r="B202" t="str">
            <v>TTCBDUSM</v>
          </cell>
          <cell r="C202" t="str">
            <v>ON Tier 1 - Tasa Fija USD Ley Argentina ON</v>
          </cell>
          <cell r="D202">
            <v>351.09123968234485</v>
          </cell>
          <cell r="E202">
            <v>1.05135538</v>
          </cell>
          <cell r="F202">
            <v>1.05217706</v>
          </cell>
          <cell r="G202">
            <v>1.0538913700000001</v>
          </cell>
          <cell r="H202">
            <v>1.0542554900000001</v>
          </cell>
          <cell r="I202">
            <v>1.0537333</v>
          </cell>
          <cell r="J202">
            <v>1.0553754099999999</v>
          </cell>
          <cell r="K202">
            <v>1.0534601800000001</v>
          </cell>
          <cell r="L202">
            <v>1.0532644099999999</v>
          </cell>
          <cell r="M202">
            <v>1.05355172</v>
          </cell>
          <cell r="N202">
            <v>1.0250121599999999</v>
          </cell>
        </row>
        <row r="203">
          <cell r="A203" t="str">
            <v>TTC8D</v>
          </cell>
          <cell r="B203" t="str">
            <v>TTC8DUSM</v>
          </cell>
          <cell r="C203" t="str">
            <v>ON Tier 1 - Tasa Fija USD Ley Argentina ON</v>
          </cell>
          <cell r="D203">
            <v>361.85685831650812</v>
          </cell>
          <cell r="E203">
            <v>1.02783063</v>
          </cell>
          <cell r="F203">
            <v>1.0286767400000001</v>
          </cell>
          <cell r="G203">
            <v>1.03032605</v>
          </cell>
          <cell r="H203">
            <v>1.03085746</v>
          </cell>
          <cell r="I203">
            <v>1.0295000000000001</v>
          </cell>
          <cell r="J203">
            <v>1.0285</v>
          </cell>
          <cell r="K203">
            <v>1.0300509099999999</v>
          </cell>
          <cell r="L203">
            <v>1.0298588</v>
          </cell>
          <cell r="M203">
            <v>1.0300940999999999</v>
          </cell>
          <cell r="N203">
            <v>1.0310238300000001</v>
          </cell>
        </row>
        <row r="204">
          <cell r="A204" t="str">
            <v>PLC1D</v>
          </cell>
          <cell r="B204" t="str">
            <v>PLC1DUSM</v>
          </cell>
          <cell r="C204" t="str">
            <v>ON Tier 1 - Tasa Fija USD Ley Argentina ON</v>
          </cell>
          <cell r="D204">
            <v>445.64035193786719</v>
          </cell>
          <cell r="E204">
            <v>1.0402360100000001</v>
          </cell>
          <cell r="F204">
            <v>1.04142325</v>
          </cell>
          <cell r="G204">
            <v>1.0425399399999999</v>
          </cell>
          <cell r="H204">
            <v>1.04107466</v>
          </cell>
          <cell r="I204">
            <v>1.0428911000000001</v>
          </cell>
          <cell r="J204">
            <v>1.0450770899999999</v>
          </cell>
          <cell r="K204">
            <v>1.0442113200000001</v>
          </cell>
          <cell r="L204">
            <v>1.044028</v>
          </cell>
          <cell r="M204">
            <v>1.0436826800000001</v>
          </cell>
          <cell r="N204">
            <v>1.0441870600000001</v>
          </cell>
        </row>
        <row r="205">
          <cell r="A205" t="str">
            <v>PLC3D</v>
          </cell>
          <cell r="B205" t="str">
            <v>PLC3DUSM</v>
          </cell>
          <cell r="C205" t="str">
            <v>ON Tier 1 - Tasa Fija USD Ley Argentina ON</v>
          </cell>
          <cell r="D205">
            <v>536.27924293617968</v>
          </cell>
          <cell r="K205">
            <v>1.04875889</v>
          </cell>
          <cell r="L205">
            <v>1.0400070299999999</v>
          </cell>
          <cell r="M205">
            <v>1.0476852999999999</v>
          </cell>
          <cell r="N205">
            <v>1.04769753</v>
          </cell>
        </row>
        <row r="206">
          <cell r="A206" t="str">
            <v>OLC5D</v>
          </cell>
          <cell r="B206" t="str">
            <v>OLC5DUSM</v>
          </cell>
          <cell r="C206" t="str">
            <v>ON Tier 1 - Tasa Fija USD Ley Argentina ON</v>
          </cell>
          <cell r="D206">
            <v>566.68785584997022</v>
          </cell>
          <cell r="E206">
            <v>1.0668849600000001</v>
          </cell>
          <cell r="F206">
            <v>1.06621207</v>
          </cell>
          <cell r="G206">
            <v>1.06661892</v>
          </cell>
          <cell r="H206">
            <v>1.07157999</v>
          </cell>
          <cell r="I206">
            <v>1.06741347</v>
          </cell>
          <cell r="J206">
            <v>1.07034399</v>
          </cell>
          <cell r="K206">
            <v>1.07109784</v>
          </cell>
          <cell r="L206">
            <v>1.0708510099999999</v>
          </cell>
          <cell r="M206">
            <v>1.0698075899999999</v>
          </cell>
          <cell r="N206">
            <v>1.0660000000000001</v>
          </cell>
        </row>
        <row r="207">
          <cell r="A207" t="str">
            <v>BF44D</v>
          </cell>
          <cell r="B207" t="str">
            <v>BF44DUSM</v>
          </cell>
          <cell r="C207" t="str">
            <v>ON Tier 1 - Tasa Fija USD Ley Argentina ON</v>
          </cell>
          <cell r="D207">
            <v>544.70628855833399</v>
          </cell>
          <cell r="E207">
            <v>1.0161841899999999</v>
          </cell>
          <cell r="F207">
            <v>1.0174886700000001</v>
          </cell>
          <cell r="G207">
            <v>1.0179952000000001</v>
          </cell>
          <cell r="H207">
            <v>1.02242934</v>
          </cell>
          <cell r="I207">
            <v>1.0187228100000001</v>
          </cell>
          <cell r="J207">
            <v>1.0214082600000001</v>
          </cell>
          <cell r="K207">
            <v>1.0217988899999999</v>
          </cell>
          <cell r="L207">
            <v>1.02158723</v>
          </cell>
          <cell r="M207">
            <v>1.0206825399999999</v>
          </cell>
          <cell r="N207">
            <v>1.02062192</v>
          </cell>
        </row>
        <row r="208">
          <cell r="A208" t="str">
            <v>YM40D</v>
          </cell>
          <cell r="B208" t="str">
            <v>YM40DUSM</v>
          </cell>
          <cell r="C208" t="str">
            <v>YM40O - Z-Spread D</v>
          </cell>
          <cell r="D208">
            <v>638.77649384393339</v>
          </cell>
          <cell r="E208">
            <v>1.04382982</v>
          </cell>
          <cell r="F208">
            <v>1.0449212800000001</v>
          </cell>
          <cell r="G208">
            <v>1.0450103799999999</v>
          </cell>
          <cell r="H208">
            <v>1.0507281799999999</v>
          </cell>
          <cell r="I208">
            <v>1.0458546500000001</v>
          </cell>
          <cell r="J208">
            <v>1.0490919400000001</v>
          </cell>
          <cell r="K208">
            <v>1.05077029</v>
          </cell>
          <cell r="L208">
            <v>1.05044348</v>
          </cell>
          <cell r="M208">
            <v>1.04916962</v>
          </cell>
          <cell r="N208">
            <v>1.0485289</v>
          </cell>
        </row>
        <row r="209">
          <cell r="A209" t="str">
            <v>YMCYD</v>
          </cell>
          <cell r="B209" t="str">
            <v>YMCYDUSM</v>
          </cell>
          <cell r="C209" t="str">
            <v>YMCYO - Z-Spread D</v>
          </cell>
          <cell r="D209">
            <v>686.83837515105893</v>
          </cell>
          <cell r="E209">
            <v>1.04353568</v>
          </cell>
          <cell r="F209">
            <v>1.04424736</v>
          </cell>
          <cell r="G209">
            <v>1.0441799599999999</v>
          </cell>
          <cell r="H209">
            <v>1.0501627200000001</v>
          </cell>
          <cell r="I209">
            <v>1.04496217</v>
          </cell>
          <cell r="J209">
            <v>1.04836025</v>
          </cell>
          <cell r="K209">
            <v>1.0341349</v>
          </cell>
          <cell r="L209">
            <v>1.0245205799999999</v>
          </cell>
          <cell r="M209">
            <v>1.0230878699999999</v>
          </cell>
          <cell r="N209">
            <v>1.01851012</v>
          </cell>
        </row>
        <row r="210">
          <cell r="A210" t="str">
            <v>YMCZD</v>
          </cell>
          <cell r="B210" t="str">
            <v>YMCZDUSM</v>
          </cell>
          <cell r="C210" t="str">
            <v>YMCZO - Z-Spread D</v>
          </cell>
          <cell r="D210">
            <v>691.05840597593453</v>
          </cell>
          <cell r="E210">
            <v>1.0889047599999999</v>
          </cell>
          <cell r="F210">
            <v>1.0896962800000001</v>
          </cell>
          <cell r="G210">
            <v>1.0896006899999999</v>
          </cell>
          <cell r="H210">
            <v>1.0957470499999999</v>
          </cell>
          <cell r="I210">
            <v>1.09035448</v>
          </cell>
          <cell r="J210">
            <v>1.0938335100000001</v>
          </cell>
          <cell r="K210">
            <v>1.0680000000000001</v>
          </cell>
          <cell r="L210">
            <v>1.06718476</v>
          </cell>
          <cell r="M210">
            <v>1.0657199500000001</v>
          </cell>
          <cell r="N210">
            <v>1.06474717</v>
          </cell>
        </row>
        <row r="211">
          <cell r="A211" t="str">
            <v>GN47D</v>
          </cell>
          <cell r="B211" t="str">
            <v>GN47DUSM</v>
          </cell>
          <cell r="C211" t="str">
            <v>ON Tier 1 - Tasa Fija USD Ley Argentina ON</v>
          </cell>
          <cell r="D211">
            <v>681.68976807990578</v>
          </cell>
          <cell r="E211">
            <v>1.0342038</v>
          </cell>
          <cell r="F211">
            <v>1.0350470199999999</v>
          </cell>
          <cell r="G211">
            <v>1.0349657299999999</v>
          </cell>
          <cell r="H211">
            <v>1.04095593</v>
          </cell>
          <cell r="I211">
            <v>1.03576669</v>
          </cell>
          <cell r="J211">
            <v>1.0391764800000001</v>
          </cell>
          <cell r="K211">
            <v>1.0414880200000001</v>
          </cell>
          <cell r="L211">
            <v>1.0410913799999999</v>
          </cell>
          <cell r="M211">
            <v>1.03973067</v>
          </cell>
          <cell r="N211">
            <v>1.0388047600000001</v>
          </cell>
        </row>
        <row r="212">
          <cell r="A212" t="str">
            <v>YFCLD</v>
          </cell>
          <cell r="B212" t="str">
            <v>YFCLDUSM</v>
          </cell>
          <cell r="C212" t="str">
            <v>YFCLO - Z-Spread D</v>
          </cell>
          <cell r="D212">
            <v>717.51470456536993</v>
          </cell>
          <cell r="E212">
            <v>1.03629237</v>
          </cell>
          <cell r="F212">
            <v>1.03688589</v>
          </cell>
          <cell r="G212">
            <v>1.03676313</v>
          </cell>
          <cell r="H212">
            <v>1.04279341</v>
          </cell>
          <cell r="I212">
            <v>1.03745245</v>
          </cell>
          <cell r="J212">
            <v>1.04101098</v>
          </cell>
          <cell r="K212">
            <v>1.0436467899999999</v>
          </cell>
          <cell r="L212">
            <v>1.0431683700000001</v>
          </cell>
          <cell r="M212">
            <v>1.04179154</v>
          </cell>
          <cell r="N212">
            <v>1.0406905</v>
          </cell>
        </row>
        <row r="213">
          <cell r="A213" t="str">
            <v>YFCOD</v>
          </cell>
          <cell r="B213" t="str">
            <v>YFCODUSM</v>
          </cell>
          <cell r="C213" t="str">
            <v>YFCOO - Z-Spread D</v>
          </cell>
          <cell r="D213">
            <v>740.24212521657773</v>
          </cell>
          <cell r="E213">
            <v>1.0266490100000001</v>
          </cell>
          <cell r="F213">
            <v>1.02709202</v>
          </cell>
          <cell r="G213">
            <v>1.0269571099999999</v>
          </cell>
          <cell r="H213">
            <v>1.03293112</v>
          </cell>
          <cell r="I213">
            <v>1.02758131</v>
          </cell>
          <cell r="J213">
            <v>1.0312072400000001</v>
          </cell>
          <cell r="K213">
            <v>1.03409839</v>
          </cell>
          <cell r="L213">
            <v>1.03358211</v>
          </cell>
          <cell r="M213">
            <v>1.0322310400000001</v>
          </cell>
          <cell r="N213">
            <v>1.0310334800000001</v>
          </cell>
        </row>
        <row r="214">
          <cell r="A214" t="str">
            <v>YM42D</v>
          </cell>
          <cell r="B214" t="str">
            <v>YM42DUSM</v>
          </cell>
          <cell r="C214" t="str">
            <v>YM42O - Z-Spread D</v>
          </cell>
          <cell r="D214">
            <v>796.02118611949527</v>
          </cell>
          <cell r="E214">
            <v>1.04541909</v>
          </cell>
          <cell r="F214">
            <v>1.0450488899999999</v>
          </cell>
          <cell r="G214">
            <v>1.0449710999999999</v>
          </cell>
          <cell r="H214">
            <v>1.0435886000000001</v>
          </cell>
          <cell r="I214">
            <v>1.04497474</v>
          </cell>
          <cell r="J214">
            <v>1.0425423899999999</v>
          </cell>
          <cell r="K214">
            <v>1.0464037799999999</v>
          </cell>
          <cell r="L214">
            <v>1.0489861</v>
          </cell>
          <cell r="M214">
            <v>1.0481399199999999</v>
          </cell>
          <cell r="N214">
            <v>1.0479981300000001</v>
          </cell>
        </row>
        <row r="215">
          <cell r="A215" t="str">
            <v>PLC6D</v>
          </cell>
          <cell r="B215" t="str">
            <v>PLC6DUSM</v>
          </cell>
          <cell r="C215" t="str">
            <v>ON Tier 1 - Tasa Fija USD Ley Argentina ON</v>
          </cell>
          <cell r="D215">
            <v>786.05154814760351</v>
          </cell>
          <cell r="E215">
            <v>1.0532517299999999</v>
          </cell>
          <cell r="F215">
            <v>1.05302604</v>
          </cell>
          <cell r="G215">
            <v>1.05294201</v>
          </cell>
          <cell r="H215">
            <v>1.04697906</v>
          </cell>
          <cell r="I215">
            <v>1.0440670999999999</v>
          </cell>
          <cell r="J215">
            <v>1.0570734399999999</v>
          </cell>
          <cell r="K215">
            <v>1.06068564</v>
          </cell>
          <cell r="L215">
            <v>1.0599897</v>
          </cell>
          <cell r="M215">
            <v>1.05878662</v>
          </cell>
          <cell r="N215">
            <v>1.05696305</v>
          </cell>
        </row>
        <row r="216">
          <cell r="A216" t="str">
            <v>TLCUD</v>
          </cell>
          <cell r="B216" t="str">
            <v>TLCUDUSM</v>
          </cell>
          <cell r="C216" t="str">
            <v>ON Tier 1 - Tasa Fija USD Ley Argentina ON</v>
          </cell>
          <cell r="D216">
            <v>816.99496176096682</v>
          </cell>
          <cell r="E216">
            <v>1.0192978100000001</v>
          </cell>
          <cell r="F216">
            <v>1.01900594</v>
          </cell>
          <cell r="G216">
            <v>1.0189089200000001</v>
          </cell>
          <cell r="H216">
            <v>1.0099935600000001</v>
          </cell>
          <cell r="I216">
            <v>1.01914259</v>
          </cell>
          <cell r="J216">
            <v>1.0230263500000001</v>
          </cell>
          <cell r="K216">
            <v>1.0267153600000001</v>
          </cell>
          <cell r="L216">
            <v>1.02600146</v>
          </cell>
          <cell r="M216">
            <v>1.02480635</v>
          </cell>
          <cell r="N216">
            <v>1.02325087</v>
          </cell>
        </row>
        <row r="217">
          <cell r="A217" t="str">
            <v>OLC6D</v>
          </cell>
          <cell r="B217" t="str">
            <v>OLC6DUSM</v>
          </cell>
          <cell r="C217" t="str">
            <v>ON Tier 1 - Tasa Fija USD Ley Argentina ON</v>
          </cell>
          <cell r="D217">
            <v>872.1528631297258</v>
          </cell>
          <cell r="E217">
            <v>1.0630294199999999</v>
          </cell>
          <cell r="F217">
            <v>1.0529999999999999</v>
          </cell>
          <cell r="G217">
            <v>1.0618194299999999</v>
          </cell>
          <cell r="H217">
            <v>1.06601206</v>
          </cell>
          <cell r="I217">
            <v>1.0613335100000001</v>
          </cell>
          <cell r="J217">
            <v>1.0655010899999999</v>
          </cell>
          <cell r="K217">
            <v>1.06991203</v>
          </cell>
          <cell r="L217">
            <v>1.0688995999999999</v>
          </cell>
          <cell r="M217">
            <v>1.06812244</v>
          </cell>
          <cell r="N217">
            <v>1.0662363500000001</v>
          </cell>
        </row>
        <row r="218">
          <cell r="A218" t="str">
            <v>OLC7D</v>
          </cell>
          <cell r="B218" t="str">
            <v>OLC7DUSM</v>
          </cell>
          <cell r="C218" t="str">
            <v>ON Tier 1 - Tasa Fija USD Ley Argentina ON</v>
          </cell>
          <cell r="D218">
            <v>1109.0463047080839</v>
          </cell>
          <cell r="E218">
            <v>1.03550556</v>
          </cell>
          <cell r="F218">
            <v>1.0292486000000001</v>
          </cell>
          <cell r="G218">
            <v>1.0315415100000001</v>
          </cell>
          <cell r="H218">
            <v>1.0288302300000001</v>
          </cell>
          <cell r="I218">
            <v>1.02754615</v>
          </cell>
          <cell r="J218">
            <v>1.03197925</v>
          </cell>
          <cell r="K218">
            <v>1.0374047500000001</v>
          </cell>
          <cell r="L218">
            <v>1.03522421</v>
          </cell>
          <cell r="M218">
            <v>1.0370165499999999</v>
          </cell>
          <cell r="N218">
            <v>1.03462945</v>
          </cell>
        </row>
        <row r="219">
          <cell r="A219" t="str">
            <v>HJCFD</v>
          </cell>
          <cell r="B219" t="str">
            <v>HJCFDUSM</v>
          </cell>
          <cell r="C219" t="str">
            <v>ON Tier 1 - Tasa Fija USD Ley Argentina ON</v>
          </cell>
          <cell r="D219">
            <v>6.0000000000023501</v>
          </cell>
          <cell r="E219">
            <v>1.0244042</v>
          </cell>
          <cell r="F219">
            <v>1.0243819300000001</v>
          </cell>
          <cell r="G219">
            <v>1.02475278</v>
          </cell>
          <cell r="H219">
            <v>1.02417406</v>
          </cell>
          <cell r="I219">
            <v>1.02461084</v>
          </cell>
          <cell r="J219">
            <v>1.02465899</v>
          </cell>
          <cell r="K219">
            <v>1.02651732</v>
          </cell>
          <cell r="L219">
            <v>1.0245947500000001</v>
          </cell>
          <cell r="M219">
            <v>1.0247494100000001</v>
          </cell>
          <cell r="N219">
            <v>1.0265</v>
          </cell>
        </row>
        <row r="220">
          <cell r="A220" t="str">
            <v>T672D</v>
          </cell>
          <cell r="B220" t="str">
            <v>T672DUSM</v>
          </cell>
          <cell r="C220" t="str">
            <v>ON Tier 2 - Tasa Fija USD Ley Argentina ON</v>
          </cell>
          <cell r="D220">
            <v>128.88061588906854</v>
          </cell>
          <cell r="E220">
            <v>1.00818863</v>
          </cell>
          <cell r="F220">
            <v>1.0075808900000001</v>
          </cell>
          <cell r="G220">
            <v>1.00862455</v>
          </cell>
          <cell r="H220">
            <v>1.0070171699999999</v>
          </cell>
          <cell r="I220">
            <v>1.0086703699999999</v>
          </cell>
          <cell r="J220">
            <v>1.0071214399999999</v>
          </cell>
          <cell r="K220">
            <v>1.00460952</v>
          </cell>
          <cell r="L220">
            <v>1.00491715</v>
          </cell>
          <cell r="M220">
            <v>1.0074080599999999</v>
          </cell>
          <cell r="N220">
            <v>1.00805334</v>
          </cell>
        </row>
        <row r="221">
          <cell r="A221" t="str">
            <v>CS48D</v>
          </cell>
          <cell r="B221" t="str">
            <v>CS48DUSM</v>
          </cell>
          <cell r="C221" t="str">
            <v>ON Tier 1 - Tasa Fija USD Ley Argentina ON</v>
          </cell>
          <cell r="D221">
            <v>595.03310546308035</v>
          </cell>
          <cell r="E221">
            <v>1.06123265</v>
          </cell>
          <cell r="F221">
            <v>1.0624878499999999</v>
          </cell>
          <cell r="G221">
            <v>1.0627684500000001</v>
          </cell>
          <cell r="H221">
            <v>1.06809098</v>
          </cell>
          <cell r="I221">
            <v>1.0636031399999999</v>
          </cell>
          <cell r="J221">
            <v>1.0666727300000001</v>
          </cell>
          <cell r="K221">
            <v>1.0677807399999999</v>
          </cell>
          <cell r="L221">
            <v>1.06750634</v>
          </cell>
          <cell r="M221">
            <v>1.06635708</v>
          </cell>
          <cell r="N221">
            <v>1.0659785100000001</v>
          </cell>
        </row>
        <row r="222">
          <cell r="A222" t="str">
            <v>CS47D</v>
          </cell>
          <cell r="B222" t="str">
            <v>CS47DUSM</v>
          </cell>
          <cell r="C222" t="str">
            <v>ON Tier 1 - Tasa Fija USD Ley Argentina ON</v>
          </cell>
          <cell r="D222">
            <v>703.24368307113912</v>
          </cell>
          <cell r="E222">
            <v>1.0525541199999999</v>
          </cell>
          <cell r="F222">
            <v>1.0532269400000001</v>
          </cell>
          <cell r="G222">
            <v>1.0531277999999999</v>
          </cell>
          <cell r="H222">
            <v>1.0591814900000001</v>
          </cell>
          <cell r="I222">
            <v>1.0538573099999999</v>
          </cell>
          <cell r="J222">
            <v>1.0574148800000001</v>
          </cell>
          <cell r="K222">
            <v>1.0600239300000001</v>
          </cell>
          <cell r="L222">
            <v>1.0595677999999999</v>
          </cell>
          <cell r="M222">
            <v>1.05819804</v>
          </cell>
          <cell r="N222">
            <v>1.0571389200000001</v>
          </cell>
        </row>
        <row r="223">
          <cell r="A223" t="str">
            <v>ZZC1D</v>
          </cell>
          <cell r="B223" t="str">
            <v>ZZC1DUSM</v>
          </cell>
          <cell r="C223" t="str">
            <v>ON Tier 2 - Tasa Fija USD Ley Argentina ON</v>
          </cell>
          <cell r="D223">
            <v>130.00000000004604</v>
          </cell>
          <cell r="E223">
            <v>1.02287522</v>
          </cell>
          <cell r="F223">
            <v>1.02225381</v>
          </cell>
          <cell r="G223">
            <v>1.02331704</v>
          </cell>
          <cell r="H223">
            <v>1.02168097</v>
          </cell>
          <cell r="I223">
            <v>1.0200009000000001</v>
          </cell>
          <cell r="J223">
            <v>1.02527601</v>
          </cell>
          <cell r="K223">
            <v>1.01921073</v>
          </cell>
          <cell r="L223">
            <v>1.0195247999999999</v>
          </cell>
          <cell r="M223">
            <v>1.02207044</v>
          </cell>
          <cell r="N223">
            <v>1.02272831</v>
          </cell>
        </row>
        <row r="224">
          <cell r="A224" t="str">
            <v>BVCUD</v>
          </cell>
          <cell r="B224" t="str">
            <v>BVCUDUSM</v>
          </cell>
          <cell r="C224" t="str">
            <v>ON Tier 3 - Tasa Fija USD Ley Argentina ON</v>
          </cell>
          <cell r="D224">
            <v>199.98167212550453</v>
          </cell>
          <cell r="E224">
            <v>0.99991865000000002</v>
          </cell>
          <cell r="F224">
            <v>0.99933355999999995</v>
          </cell>
          <cell r="G224">
            <v>1.00201742</v>
          </cell>
          <cell r="H224">
            <v>0.99772961999999998</v>
          </cell>
          <cell r="I224">
            <v>0.99891722999999999</v>
          </cell>
          <cell r="J224">
            <v>0.99668593000000005</v>
          </cell>
          <cell r="K224">
            <v>0.99370274000000003</v>
          </cell>
          <cell r="L224">
            <v>0.99423132000000003</v>
          </cell>
          <cell r="M224">
            <v>0.99744323999999995</v>
          </cell>
          <cell r="N224">
            <v>0.99798759999999997</v>
          </cell>
        </row>
        <row r="225">
          <cell r="A225" t="str">
            <v>JNC6D</v>
          </cell>
          <cell r="B225" t="str">
            <v>JNC6DUSM</v>
          </cell>
          <cell r="C225" t="str">
            <v>ON Tier 3 - Tasa Fija USD Ley Argentina ON</v>
          </cell>
          <cell r="D225">
            <v>346.24050357617472</v>
          </cell>
          <cell r="E225">
            <v>1.0657813199999999</v>
          </cell>
          <cell r="F225">
            <v>1.0202246100000001</v>
          </cell>
          <cell r="G225">
            <v>1.0228976400000001</v>
          </cell>
          <cell r="H225">
            <v>1.01982671</v>
          </cell>
          <cell r="I225">
            <v>1.01865625</v>
          </cell>
          <cell r="J225">
            <v>1.0149877700000001</v>
          </cell>
          <cell r="K225">
            <v>1.0119717699999999</v>
          </cell>
          <cell r="L225">
            <v>1.01300762</v>
          </cell>
          <cell r="M225">
            <v>1.01714434</v>
          </cell>
          <cell r="N225">
            <v>1.0168476900000001</v>
          </cell>
        </row>
        <row r="226">
          <cell r="A226" t="str">
            <v>HVS1D</v>
          </cell>
          <cell r="B226" t="str">
            <v>HVS1DUSM</v>
          </cell>
          <cell r="C226" t="str">
            <v>ON Tier 3 - Tasa Fija USD Ley Argentina ON</v>
          </cell>
          <cell r="D226">
            <v>594.30986898648177</v>
          </cell>
          <cell r="E226">
            <v>1.03539245</v>
          </cell>
          <cell r="F226">
            <v>1.03445484</v>
          </cell>
          <cell r="G226">
            <v>1.0361845300000001</v>
          </cell>
          <cell r="H226">
            <v>1.0359480700000001</v>
          </cell>
          <cell r="I226">
            <v>1.0080814499999999</v>
          </cell>
          <cell r="J226">
            <v>1.00214566</v>
          </cell>
          <cell r="K226">
            <v>1.0012081500000001</v>
          </cell>
          <cell r="L226">
            <v>1.00297619</v>
          </cell>
          <cell r="M226">
            <v>1.00822021</v>
          </cell>
          <cell r="N226">
            <v>1.00557399</v>
          </cell>
        </row>
        <row r="227">
          <cell r="A227" t="str">
            <v>TGCHD</v>
          </cell>
          <cell r="B227" t="str">
            <v>TGCHDUSM</v>
          </cell>
          <cell r="C227" t="str">
            <v>-</v>
          </cell>
          <cell r="D227" t="str">
            <v>-</v>
          </cell>
          <cell r="E227">
            <v>9.9999999999999995E-8</v>
          </cell>
          <cell r="F227">
            <v>9.9999999999999995E-8</v>
          </cell>
          <cell r="G227">
            <v>9.9999999999999995E-8</v>
          </cell>
          <cell r="H227">
            <v>9.9999999999999995E-8</v>
          </cell>
          <cell r="I227">
            <v>9.9999999999999995E-8</v>
          </cell>
          <cell r="J227">
            <v>9.9999999999999995E-8</v>
          </cell>
          <cell r="K227">
            <v>9.9999999999999995E-8</v>
          </cell>
          <cell r="L227">
            <v>9.9999999999999995E-8</v>
          </cell>
          <cell r="M227">
            <v>9.9999999999999995E-8</v>
          </cell>
          <cell r="N227">
            <v>9.9999999999999995E-8</v>
          </cell>
        </row>
        <row r="228">
          <cell r="A228"/>
          <cell r="B228"/>
          <cell r="C228"/>
          <cell r="D228"/>
        </row>
        <row r="229">
          <cell r="A229" t="str">
            <v>VES2L</v>
          </cell>
          <cell r="B229" t="str">
            <v>VES2LARS</v>
          </cell>
          <cell r="C229" t="str">
            <v>ON PyME Gar - Tasa Fija USD Ley Argentina ON Pesos</v>
          </cell>
          <cell r="D229">
            <v>447.55488727072054</v>
          </cell>
          <cell r="E229">
            <v>1589.6213874600001</v>
          </cell>
          <cell r="F229">
            <v>1571.1390366799999</v>
          </cell>
          <cell r="G229">
            <v>1569.0590856399999</v>
          </cell>
          <cell r="H229">
            <v>1570.5571625</v>
          </cell>
          <cell r="I229">
            <v>1566.41363948</v>
          </cell>
          <cell r="J229">
            <v>1570.09792055</v>
          </cell>
          <cell r="K229">
            <v>1572.6172695099999</v>
          </cell>
          <cell r="L229">
            <v>1564.0058809899999</v>
          </cell>
          <cell r="M229">
            <v>1572.3514012400001</v>
          </cell>
          <cell r="N229">
            <v>1560.9477959000001</v>
          </cell>
        </row>
        <row r="230">
          <cell r="A230" t="str">
            <v>NAS1L</v>
          </cell>
          <cell r="B230" t="str">
            <v>NAS1LARS</v>
          </cell>
          <cell r="C230" t="str">
            <v>ON PyME Gar - Tasa Fija USD Ley Argentina ON Pesos</v>
          </cell>
          <cell r="D230">
            <v>520.66757587216557</v>
          </cell>
          <cell r="E230">
            <v>1581.8627743</v>
          </cell>
          <cell r="F230">
            <v>1561.53567714</v>
          </cell>
          <cell r="G230">
            <v>1558.6434773399999</v>
          </cell>
          <cell r="H230">
            <v>1558.5538278399999</v>
          </cell>
          <cell r="I230">
            <v>1533.7911797500001</v>
          </cell>
          <cell r="J230">
            <v>1537.70015033</v>
          </cell>
          <cell r="K230">
            <v>1541.16344104</v>
          </cell>
          <cell r="L230">
            <v>1532.01550789</v>
          </cell>
          <cell r="M230">
            <v>1541.5381066299999</v>
          </cell>
          <cell r="N230">
            <v>1531.2018898900001</v>
          </cell>
        </row>
        <row r="231">
          <cell r="A231" t="str">
            <v>ORS1L</v>
          </cell>
          <cell r="B231" t="str">
            <v>ORS1LARS</v>
          </cell>
          <cell r="C231" t="str">
            <v>ON PyME Gar - Tasa Fija USD Ley Argentina ON Pesos</v>
          </cell>
          <cell r="D231">
            <v>545.31314631860766</v>
          </cell>
          <cell r="E231">
            <v>1581.74236737</v>
          </cell>
          <cell r="F231">
            <v>1562.2884938100001</v>
          </cell>
          <cell r="G231">
            <v>1558.9508228</v>
          </cell>
          <cell r="H231">
            <v>1557.32087007</v>
          </cell>
          <cell r="I231">
            <v>1554.7113826299999</v>
          </cell>
          <cell r="J231">
            <v>1558.59577786</v>
          </cell>
          <cell r="K231">
            <v>1562.8968092800001</v>
          </cell>
          <cell r="L231">
            <v>1553.90771924</v>
          </cell>
          <cell r="M231">
            <v>1563.08569878</v>
          </cell>
          <cell r="N231">
            <v>1553.86025208</v>
          </cell>
        </row>
        <row r="232">
          <cell r="A232" t="str">
            <v>BYCWO</v>
          </cell>
          <cell r="B232" t="str">
            <v>BYCWOARS</v>
          </cell>
          <cell r="C232" t="str">
            <v>ON Tier 1 - Tasa Fija USD Ley Argentina ON Pesos</v>
          </cell>
          <cell r="D232">
            <v>45.999999999998558</v>
          </cell>
          <cell r="E232">
            <v>1593.84753759</v>
          </cell>
          <cell r="F232">
            <v>1591.32889166</v>
          </cell>
          <cell r="G232">
            <v>1585.5632502399999</v>
          </cell>
          <cell r="H232">
            <v>1589.8227555200001</v>
          </cell>
          <cell r="I232">
            <v>1590</v>
          </cell>
          <cell r="J232">
            <v>1587.2879229099999</v>
          </cell>
          <cell r="K232">
            <v>1587.2032682199999</v>
          </cell>
          <cell r="L232">
            <v>1590</v>
          </cell>
          <cell r="M232">
            <v>1593</v>
          </cell>
          <cell r="N232">
            <v>1576.06733891</v>
          </cell>
        </row>
        <row r="233">
          <cell r="A233" t="str">
            <v>BYCXO</v>
          </cell>
          <cell r="B233" t="str">
            <v>BYCXOARS</v>
          </cell>
          <cell r="C233" t="str">
            <v>ON Tier 1 - Tasa Fija USD Ley Argentina ON Pesos</v>
          </cell>
          <cell r="D233">
            <v>75.999999999999361</v>
          </cell>
          <cell r="E233">
            <v>1582.8437832100001</v>
          </cell>
          <cell r="F233">
            <v>1579.845534</v>
          </cell>
          <cell r="G233">
            <v>1576.2930617100001</v>
          </cell>
          <cell r="H233">
            <v>1581.1626472099999</v>
          </cell>
          <cell r="I233">
            <v>1577.1745145100001</v>
          </cell>
          <cell r="J233">
            <v>1578.3765257800001</v>
          </cell>
          <cell r="K233">
            <v>1578.0458618600001</v>
          </cell>
          <cell r="L233">
            <v>1575.6165328300001</v>
          </cell>
          <cell r="M233">
            <v>1573.7283206100001</v>
          </cell>
          <cell r="N233">
            <v>1564.8672031200001</v>
          </cell>
        </row>
        <row r="234">
          <cell r="A234" t="str">
            <v>YM41O</v>
          </cell>
          <cell r="B234" t="str">
            <v>YM41OARS</v>
          </cell>
          <cell r="C234" t="str">
            <v>YM41OS - Z-Spread D</v>
          </cell>
          <cell r="D234">
            <v>85.000000000001052</v>
          </cell>
          <cell r="E234">
            <v>1572.6245428499999</v>
          </cell>
          <cell r="F234">
            <v>1569.7952258299999</v>
          </cell>
          <cell r="G234">
            <v>1566.8252226899999</v>
          </cell>
          <cell r="H234">
            <v>1571.91043633</v>
          </cell>
          <cell r="I234">
            <v>1544.64850172</v>
          </cell>
          <cell r="J234">
            <v>1546.04570201</v>
          </cell>
          <cell r="K234">
            <v>1546.1208074199999</v>
          </cell>
          <cell r="L234">
            <v>1543.58743314</v>
          </cell>
          <cell r="M234">
            <v>1542.1488781200001</v>
          </cell>
          <cell r="N234">
            <v>1533.02031771</v>
          </cell>
        </row>
        <row r="235">
          <cell r="A235" t="str">
            <v>YM37O</v>
          </cell>
          <cell r="B235" t="str">
            <v>YM37OARS</v>
          </cell>
          <cell r="C235" t="str">
            <v>YM37OS - Z-Spread D</v>
          </cell>
          <cell r="D235">
            <v>199.42369812295354</v>
          </cell>
          <cell r="E235">
            <v>1603.5790878299999</v>
          </cell>
          <cell r="F235">
            <v>1595.69718487</v>
          </cell>
          <cell r="G235">
            <v>1579.20247965</v>
          </cell>
          <cell r="H235">
            <v>1585.23790631</v>
          </cell>
          <cell r="I235">
            <v>1579.6271023100001</v>
          </cell>
          <cell r="J235">
            <v>1582.1680028200001</v>
          </cell>
          <cell r="K235">
            <v>1581.8304173199999</v>
          </cell>
          <cell r="L235">
            <v>1576.2065465000001</v>
          </cell>
          <cell r="M235">
            <v>1578.6353365699999</v>
          </cell>
          <cell r="N235">
            <v>1564.6174104500001</v>
          </cell>
        </row>
        <row r="236">
          <cell r="A236" t="str">
            <v>YFCMO</v>
          </cell>
          <cell r="B236" t="str">
            <v>YFMCOARS</v>
          </cell>
          <cell r="C236" t="str">
            <v>YFCMOS - Z-Spread D</v>
          </cell>
          <cell r="D236">
            <v>212.77532279709692</v>
          </cell>
          <cell r="E236">
            <v>1589.8210102400001</v>
          </cell>
          <cell r="F236">
            <v>1581.4318760399999</v>
          </cell>
          <cell r="G236">
            <v>1582.77526076</v>
          </cell>
          <cell r="H236">
            <v>1588.88499903</v>
          </cell>
          <cell r="I236">
            <v>1583.0998314000001</v>
          </cell>
          <cell r="J236">
            <v>1585.7053665999999</v>
          </cell>
          <cell r="K236">
            <v>1585.1699118199999</v>
          </cell>
          <cell r="L236">
            <v>1579.1791371899999</v>
          </cell>
          <cell r="M236">
            <v>1582.0127234700001</v>
          </cell>
          <cell r="N236">
            <v>1567.60753649</v>
          </cell>
        </row>
        <row r="237">
          <cell r="A237" t="str">
            <v>PFC2O</v>
          </cell>
          <cell r="B237" t="str">
            <v>PFC2OARS</v>
          </cell>
          <cell r="C237" t="str">
            <v>ON Tier 1 - Tasa Fija USD Ley Argentina ON Pesos</v>
          </cell>
          <cell r="D237">
            <v>265.70163540499419</v>
          </cell>
          <cell r="E237">
            <v>1617.1912061999999</v>
          </cell>
          <cell r="F237">
            <v>1605.7820060700001</v>
          </cell>
          <cell r="G237">
            <v>1607.43779804</v>
          </cell>
          <cell r="H237">
            <v>1613.4554167900001</v>
          </cell>
          <cell r="I237">
            <v>1607.3298696500001</v>
          </cell>
          <cell r="J237">
            <v>1610.3897997399999</v>
          </cell>
          <cell r="K237">
            <v>1610.08607385</v>
          </cell>
          <cell r="L237">
            <v>1602.9202170200001</v>
          </cell>
          <cell r="M237">
            <v>1607.58785642</v>
          </cell>
          <cell r="N237">
            <v>1574</v>
          </cell>
        </row>
        <row r="238">
          <cell r="A238" t="str">
            <v>YM38O</v>
          </cell>
          <cell r="B238" t="str">
            <v>YM38OARS</v>
          </cell>
          <cell r="C238" t="str">
            <v>YM38OS - Z-Spread D</v>
          </cell>
          <cell r="D238">
            <v>270.25207409292886</v>
          </cell>
          <cell r="E238">
            <v>1610.9802152699999</v>
          </cell>
          <cell r="F238">
            <v>1599.3799065000001</v>
          </cell>
          <cell r="G238">
            <v>1600.91193802</v>
          </cell>
          <cell r="H238">
            <v>1606.8511534199999</v>
          </cell>
          <cell r="I238">
            <v>1600.80987759</v>
          </cell>
          <cell r="J238">
            <v>1603.9109276700001</v>
          </cell>
          <cell r="K238">
            <v>1603.4267971300001</v>
          </cell>
          <cell r="L238">
            <v>1613.6031400899999</v>
          </cell>
          <cell r="M238">
            <v>1618.30855948</v>
          </cell>
          <cell r="N238">
            <v>1602.95733984</v>
          </cell>
        </row>
        <row r="239">
          <cell r="A239" t="str">
            <v>PN38O</v>
          </cell>
          <cell r="B239" t="str">
            <v>PN38OARS</v>
          </cell>
          <cell r="C239" t="str">
            <v>ON Tier 1 - Tasa Fija USD Ley Argentina ON Pesos</v>
          </cell>
          <cell r="D239">
            <v>294.31066876981276</v>
          </cell>
          <cell r="E239">
            <v>1600.5248176800001</v>
          </cell>
          <cell r="F239">
            <v>1587.6712687700001</v>
          </cell>
          <cell r="G239">
            <v>1589.2644872343201</v>
          </cell>
          <cell r="H239">
            <v>1595.00870439</v>
          </cell>
          <cell r="I239">
            <v>1588.8957056500001</v>
          </cell>
          <cell r="J239">
            <v>1592.1239153363999</v>
          </cell>
          <cell r="K239">
            <v>1592.0164938600001</v>
          </cell>
          <cell r="L239">
            <v>1584.4094779899999</v>
          </cell>
          <cell r="M239">
            <v>1589.9483668299999</v>
          </cell>
          <cell r="N239">
            <v>1574.64199263</v>
          </cell>
        </row>
        <row r="240">
          <cell r="A240" t="str">
            <v>BYZ1O</v>
          </cell>
          <cell r="B240" t="str">
            <v>BYZ1OARS</v>
          </cell>
          <cell r="C240" t="str">
            <v>ON Tier 1 - Tasa Fija USD Ley Argentina ON Pesos</v>
          </cell>
          <cell r="D240">
            <v>288.04934099988731</v>
          </cell>
          <cell r="E240">
            <v>1553.2793050400001</v>
          </cell>
          <cell r="F240">
            <v>1541.15861238</v>
          </cell>
          <cell r="G240">
            <v>1552</v>
          </cell>
          <cell r="H240">
            <v>1548.4442557299999</v>
          </cell>
          <cell r="I240">
            <v>1542.49757015</v>
          </cell>
          <cell r="J240">
            <v>1545.59515584</v>
          </cell>
          <cell r="K240">
            <v>1545.4317134999999</v>
          </cell>
          <cell r="L240">
            <v>1538.14060485</v>
          </cell>
          <cell r="M240">
            <v>1543.3297003</v>
          </cell>
          <cell r="N240">
            <v>1528.43342405</v>
          </cell>
        </row>
        <row r="241">
          <cell r="A241" t="str">
            <v>BF40O</v>
          </cell>
          <cell r="B241" t="str">
            <v>BF40OARS</v>
          </cell>
          <cell r="C241" t="str">
            <v>ON Tier 1 - Tasa Fija USD Ley Argentina ON Pesos</v>
          </cell>
          <cell r="D241">
            <v>311.60948361130778</v>
          </cell>
          <cell r="E241">
            <v>1574.7375969899999</v>
          </cell>
          <cell r="F241">
            <v>1561.1590964300001</v>
          </cell>
          <cell r="G241">
            <v>1562.6434384300001</v>
          </cell>
          <cell r="H241">
            <v>1568.1369837</v>
          </cell>
          <cell r="I241">
            <v>1562.1150560799999</v>
          </cell>
          <cell r="J241">
            <v>1565.4036416599999</v>
          </cell>
          <cell r="K241">
            <v>1565.42903761</v>
          </cell>
          <cell r="L241">
            <v>1557.6550982199999</v>
          </cell>
          <cell r="M241">
            <v>1563.6383714399999</v>
          </cell>
          <cell r="N241">
            <v>1548.5510297599999</v>
          </cell>
        </row>
        <row r="242">
          <cell r="A242" t="str">
            <v>PN34O</v>
          </cell>
          <cell r="B242" t="str">
            <v>PN34OARS</v>
          </cell>
          <cell r="C242" t="str">
            <v>ON Tier 1 - Tasa Fija USD Ley Argentina ON Pesos</v>
          </cell>
          <cell r="D242">
            <v>342.63031240696631</v>
          </cell>
          <cell r="K242">
            <v>1557.17200774</v>
          </cell>
          <cell r="L242">
            <v>1548.9641290300001</v>
          </cell>
          <cell r="M242">
            <v>1555.8354700100001</v>
          </cell>
          <cell r="N242">
            <v>1540.94089489</v>
          </cell>
        </row>
        <row r="243">
          <cell r="A243" t="str">
            <v>TTCBO</v>
          </cell>
          <cell r="B243" t="str">
            <v>TTCBOARS</v>
          </cell>
          <cell r="C243" t="str">
            <v>ON Tier 1 - Tasa Fija USD Ley Argentina ON Pesos</v>
          </cell>
          <cell r="D243">
            <v>351.03102284373023</v>
          </cell>
          <cell r="E243">
            <v>1638.22840182</v>
          </cell>
          <cell r="F243">
            <v>1621.7122307499999</v>
          </cell>
          <cell r="G243">
            <v>1622.2759556000001</v>
          </cell>
          <cell r="H243">
            <v>1627.2204992100001</v>
          </cell>
          <cell r="I243">
            <v>1621.21368865</v>
          </cell>
          <cell r="J243">
            <v>1624.8230209200001</v>
          </cell>
          <cell r="K243">
            <v>1625.3605705699999</v>
          </cell>
          <cell r="L243">
            <v>1616.7872359099999</v>
          </cell>
          <cell r="M243">
            <v>1624.1603766600001</v>
          </cell>
          <cell r="N243">
            <v>1559.2390389699999</v>
          </cell>
        </row>
        <row r="244">
          <cell r="A244" t="str">
            <v>TTC8O</v>
          </cell>
          <cell r="B244" t="str">
            <v>TTC8OARS</v>
          </cell>
          <cell r="C244" t="str">
            <v>ON Tier 1 - Tasa Fija USD Ley Argentina ON Pesos</v>
          </cell>
          <cell r="D244">
            <v>361.81185396019396</v>
          </cell>
          <cell r="E244">
            <v>1602.2077906699999</v>
          </cell>
          <cell r="F244">
            <v>1585.52793189</v>
          </cell>
          <cell r="G244">
            <v>1586.07073231</v>
          </cell>
          <cell r="H244">
            <v>1590.8064347899999</v>
          </cell>
          <cell r="I244">
            <v>1584.9273299500001</v>
          </cell>
          <cell r="J244">
            <v>1593.8977585499999</v>
          </cell>
          <cell r="K244">
            <v>1589.13616226</v>
          </cell>
          <cell r="L244">
            <v>1580.5696693800001</v>
          </cell>
          <cell r="M244">
            <v>1588.09962023</v>
          </cell>
          <cell r="N244">
            <v>1578</v>
          </cell>
        </row>
        <row r="245">
          <cell r="A245" t="str">
            <v>PLC1O</v>
          </cell>
          <cell r="B245" t="str">
            <v>PLC1OARS</v>
          </cell>
          <cell r="C245" t="str">
            <v>ON Tier 1 - Tasa Fija USD Ley Argentina ON Pesos</v>
          </cell>
          <cell r="D245">
            <v>445.59220075345655</v>
          </cell>
          <cell r="E245">
            <v>1628.0819616900001</v>
          </cell>
          <cell r="F245">
            <v>1606.9195712000001</v>
          </cell>
          <cell r="G245">
            <v>1605.6136465300001</v>
          </cell>
          <cell r="H245">
            <v>1608.58071004</v>
          </cell>
          <cell r="I245">
            <v>1603.3074176099999</v>
          </cell>
          <cell r="J245">
            <v>1607.32173863</v>
          </cell>
          <cell r="K245">
            <v>1609.1137593999999</v>
          </cell>
          <cell r="L245">
            <v>1599.5166593199999</v>
          </cell>
          <cell r="M245">
            <v>1609.2516972999999</v>
          </cell>
          <cell r="N245">
            <v>1595.88845913</v>
          </cell>
        </row>
        <row r="246">
          <cell r="A246" t="str">
            <v>PLC3O</v>
          </cell>
          <cell r="B246" t="str">
            <v>PLC3OARS</v>
          </cell>
          <cell r="C246" t="str">
            <v>ON Tier 1 - Tasa Fija USD Ley Argentina ON Pesos</v>
          </cell>
          <cell r="D246">
            <v>536.26290038781099</v>
          </cell>
          <cell r="K246">
            <v>1614.38383684</v>
          </cell>
          <cell r="L246">
            <v>1592.24587494</v>
          </cell>
          <cell r="M246">
            <v>1597.3028627000001</v>
          </cell>
          <cell r="N246">
            <v>1604.11509179</v>
          </cell>
        </row>
        <row r="247">
          <cell r="A247" t="str">
            <v>OLC5O</v>
          </cell>
          <cell r="B247" t="str">
            <v>OLC5OARS</v>
          </cell>
          <cell r="C247" t="str">
            <v>ON Tier 1 - Tasa Fija USD Ley Argentina ON Pesos</v>
          </cell>
          <cell r="D247">
            <v>566.68553573852228</v>
          </cell>
          <cell r="E247">
            <v>1674.29084491</v>
          </cell>
          <cell r="F247">
            <v>1648.27086433</v>
          </cell>
          <cell r="G247">
            <v>1643.9408052199999</v>
          </cell>
          <cell r="H247">
            <v>1643.28284179</v>
          </cell>
          <cell r="I247">
            <v>1639.5799583200001</v>
          </cell>
          <cell r="J247">
            <v>1644.0527758600001</v>
          </cell>
          <cell r="K247">
            <v>1648.09433057</v>
          </cell>
          <cell r="L247">
            <v>1637.4361258599999</v>
          </cell>
          <cell r="M247">
            <v>1649.5526216400001</v>
          </cell>
          <cell r="N247">
            <v>1639.06310942</v>
          </cell>
        </row>
        <row r="248">
          <cell r="A248" t="str">
            <v>BF44O</v>
          </cell>
          <cell r="B248" t="str">
            <v>BF44OARS</v>
          </cell>
          <cell r="C248" t="str">
            <v>ON Tier 1 - Tasa Fija USD Ley Argentina ON Pesos</v>
          </cell>
          <cell r="D248">
            <v>544.69307532167159</v>
          </cell>
          <cell r="E248">
            <v>1596.7345164999999</v>
          </cell>
          <cell r="F248">
            <v>1572.29085364</v>
          </cell>
          <cell r="G248">
            <v>1568.75351252</v>
          </cell>
          <cell r="H248">
            <v>1565</v>
          </cell>
          <cell r="I248">
            <v>1564.99849034</v>
          </cell>
          <cell r="J248">
            <v>1569.2415217499999</v>
          </cell>
          <cell r="K248">
            <v>1572.62179745</v>
          </cell>
          <cell r="L248">
            <v>1562.48606786</v>
          </cell>
          <cell r="M248">
            <v>1573.8652325800001</v>
          </cell>
          <cell r="N248">
            <v>1563.09364822</v>
          </cell>
        </row>
        <row r="249">
          <cell r="A249" t="str">
            <v>YM40O</v>
          </cell>
          <cell r="B249" t="str">
            <v>YM40OARS</v>
          </cell>
          <cell r="C249" t="str">
            <v>YM40OS - Z-Spread D</v>
          </cell>
          <cell r="D249">
            <v>638.83639857799756</v>
          </cell>
          <cell r="E249">
            <v>1644.8657392099999</v>
          </cell>
          <cell r="F249">
            <v>1618.01866978</v>
          </cell>
          <cell r="G249">
            <v>1612.2498867100001</v>
          </cell>
          <cell r="H249">
            <v>1609.06652891</v>
          </cell>
          <cell r="I249">
            <v>1606.68550198</v>
          </cell>
          <cell r="J249">
            <v>1611.2143617900001</v>
          </cell>
          <cell r="K249">
            <v>1616.62513139</v>
          </cell>
          <cell r="L249">
            <v>1605.8938536799999</v>
          </cell>
          <cell r="M249">
            <v>1618.53126084</v>
          </cell>
          <cell r="N249">
            <v>1610.28299414</v>
          </cell>
        </row>
        <row r="250">
          <cell r="A250" t="str">
            <v>YMCYO</v>
          </cell>
          <cell r="B250" t="str">
            <v>YMCYOARS</v>
          </cell>
          <cell r="C250" t="str">
            <v>YMCYOS - Z-Spread D</v>
          </cell>
          <cell r="D250">
            <v>686.84861928482985</v>
          </cell>
          <cell r="E250">
            <v>1619.86037031</v>
          </cell>
          <cell r="F250">
            <v>1593.2814982899999</v>
          </cell>
          <cell r="G250">
            <v>1586.77105656</v>
          </cell>
          <cell r="H250">
            <v>1582.10029356</v>
          </cell>
          <cell r="I250">
            <v>1580.5890508099999</v>
          </cell>
          <cell r="J250">
            <v>1585.0835577600001</v>
          </cell>
          <cell r="K250">
            <v>1566.10335562</v>
          </cell>
          <cell r="L250">
            <v>1555.5539013099999</v>
          </cell>
          <cell r="M250">
            <v>1568.2006222099999</v>
          </cell>
          <cell r="N250">
            <v>1561.42868914</v>
          </cell>
        </row>
        <row r="251">
          <cell r="A251" t="str">
            <v>YMCZO</v>
          </cell>
          <cell r="B251" t="str">
            <v>YMCZOARS</v>
          </cell>
          <cell r="C251" t="str">
            <v>YMCZOS - Z-Spread D</v>
          </cell>
          <cell r="D251">
            <v>690.4487389922956</v>
          </cell>
          <cell r="E251">
            <v>1671.0018396999999</v>
          </cell>
          <cell r="F251">
            <v>1643.88953343</v>
          </cell>
          <cell r="G251">
            <v>1637.11268182</v>
          </cell>
          <cell r="H251">
            <v>1632.3814242599999</v>
          </cell>
          <cell r="I251">
            <v>1630.7990294399999</v>
          </cell>
          <cell r="J251">
            <v>1635.3697594600001</v>
          </cell>
          <cell r="K251">
            <v>1587.6582575299999</v>
          </cell>
          <cell r="L251">
            <v>1576.89196167</v>
          </cell>
          <cell r="M251">
            <v>1589.7948576199999</v>
          </cell>
          <cell r="N251">
            <v>1582.89006101</v>
          </cell>
        </row>
        <row r="252">
          <cell r="A252" t="str">
            <v>GN47O</v>
          </cell>
          <cell r="B252" t="str">
            <v>GN47OARS</v>
          </cell>
          <cell r="C252" t="str">
            <v>ON Tier 1 - Tasa Fija USD Ley Argentina ON Pesos</v>
          </cell>
          <cell r="D252">
            <v>681.79410302606516</v>
          </cell>
          <cell r="E252">
            <v>1629.8960677499999</v>
          </cell>
          <cell r="F252">
            <v>1603.2012575700001</v>
          </cell>
          <cell r="G252">
            <v>1596.43641994</v>
          </cell>
          <cell r="H252">
            <v>1591.4188763699999</v>
          </cell>
          <cell r="I252">
            <v>1590.0621865999999</v>
          </cell>
          <cell r="J252">
            <v>1594.56678029</v>
          </cell>
          <cell r="K252">
            <v>1600.97335896</v>
          </cell>
          <cell r="L252">
            <v>1590.3859474400001</v>
          </cell>
          <cell r="M252">
            <v>1603.01082253</v>
          </cell>
          <cell r="N252">
            <v>1596.4474352899999</v>
          </cell>
        </row>
        <row r="253">
          <cell r="A253" t="str">
            <v>YFCLO</v>
          </cell>
          <cell r="B253" t="str">
            <v>YFCLOARS</v>
          </cell>
          <cell r="C253" t="str">
            <v>YFCLOS - Z-Spread D</v>
          </cell>
          <cell r="D253">
            <v>717.4343221921298</v>
          </cell>
          <cell r="E253">
            <v>1623.77354044</v>
          </cell>
          <cell r="F253">
            <v>1597.22177571</v>
          </cell>
          <cell r="G253">
            <v>1590.1485265199999</v>
          </cell>
          <cell r="H253">
            <v>1583.87518026</v>
          </cell>
          <cell r="I253">
            <v>1583.15994572</v>
          </cell>
          <cell r="J253">
            <v>1587.7096449799999</v>
          </cell>
          <cell r="K253">
            <v>1594.7996908499999</v>
          </cell>
          <cell r="L253">
            <v>1584.15074018</v>
          </cell>
          <cell r="M253">
            <v>1596.8834261300001</v>
          </cell>
          <cell r="N253">
            <v>1591.1355220200001</v>
          </cell>
        </row>
        <row r="254">
          <cell r="A254" t="str">
            <v>YFCOO</v>
          </cell>
          <cell r="B254" t="str">
            <v>YFCOOARS</v>
          </cell>
          <cell r="C254" t="str">
            <v>YFCOOS - Z-Spread D</v>
          </cell>
          <cell r="D254">
            <v>740.34266178825158</v>
          </cell>
          <cell r="E254">
            <v>1616.84042765</v>
          </cell>
          <cell r="F254">
            <v>1590.56025342</v>
          </cell>
          <cell r="G254">
            <v>1583.25398154</v>
          </cell>
          <cell r="H254">
            <v>1576.1084887300001</v>
          </cell>
          <cell r="I254">
            <v>1575.8636891799999</v>
          </cell>
          <cell r="J254">
            <v>1580.4203780600001</v>
          </cell>
          <cell r="K254">
            <v>1587.98111081</v>
          </cell>
          <cell r="L254">
            <v>1577.3578955200001</v>
          </cell>
          <cell r="M254">
            <v>1590.06847911</v>
          </cell>
          <cell r="N254">
            <v>1584.95079403</v>
          </cell>
        </row>
        <row r="255">
          <cell r="A255" t="str">
            <v>YM42O</v>
          </cell>
          <cell r="B255" t="str">
            <v>YM42OARS</v>
          </cell>
          <cell r="C255" t="str">
            <v>YM42OS - Z-Spread D</v>
          </cell>
          <cell r="D255">
            <v>796.17318960433852</v>
          </cell>
          <cell r="E255">
            <v>1622.97247285</v>
          </cell>
          <cell r="F255">
            <v>1598.4968874900001</v>
          </cell>
          <cell r="G255">
            <v>1590.6065177099999</v>
          </cell>
          <cell r="H255">
            <v>1607.79062643</v>
          </cell>
          <cell r="I255">
            <v>1608.9932767400001</v>
          </cell>
          <cell r="J255">
            <v>1609.1002353399999</v>
          </cell>
          <cell r="K255">
            <v>1611.62042827</v>
          </cell>
          <cell r="L255">
            <v>1614.86155555</v>
          </cell>
          <cell r="M255">
            <v>1604.9330380399999</v>
          </cell>
          <cell r="N255">
            <v>1610.9999463900001</v>
          </cell>
        </row>
        <row r="256">
          <cell r="A256" t="str">
            <v>PLC6O</v>
          </cell>
          <cell r="B256" t="str">
            <v>PLC6OARS</v>
          </cell>
          <cell r="C256" t="str">
            <v>ON Tier 1 - Tasa Fija USD Ley Argentina ON Pesos</v>
          </cell>
          <cell r="D256">
            <v>786.3553964848918</v>
          </cell>
          <cell r="E256">
            <v>1658.45442417</v>
          </cell>
          <cell r="F256">
            <v>1633.5630490399999</v>
          </cell>
          <cell r="G256">
            <v>1625.43638483</v>
          </cell>
          <cell r="H256">
            <v>1607.9378317999999</v>
          </cell>
          <cell r="I256">
            <v>1616.72664594</v>
          </cell>
          <cell r="J256">
            <v>1606.1000065400001</v>
          </cell>
          <cell r="K256">
            <v>1630.4853282300001</v>
          </cell>
          <cell r="L256">
            <v>1619.9688255599999</v>
          </cell>
          <cell r="M256">
            <v>1632.26641307</v>
          </cell>
          <cell r="N256">
            <v>1628.95210339</v>
          </cell>
        </row>
        <row r="257">
          <cell r="A257" t="str">
            <v>TLCUO</v>
          </cell>
          <cell r="B257" t="str">
            <v>TLCUOARS</v>
          </cell>
          <cell r="C257" t="str">
            <v>ON Tier 1 - Tasa Fija USD Ley Argentina ON Pesos</v>
          </cell>
          <cell r="D257">
            <v>817.1837605911627</v>
          </cell>
          <cell r="E257">
            <v>1605.6847841599999</v>
          </cell>
          <cell r="F257">
            <v>1581.0605143499999</v>
          </cell>
          <cell r="G257">
            <v>1573.1586073999999</v>
          </cell>
          <cell r="H257">
            <v>1562.8050278000001</v>
          </cell>
          <cell r="I257">
            <v>1564.30083203</v>
          </cell>
          <cell r="J257">
            <v>1568.87340341</v>
          </cell>
          <cell r="K257">
            <v>1578.1784350200001</v>
          </cell>
          <cell r="L257">
            <v>1567.7044049399999</v>
          </cell>
          <cell r="M257">
            <v>1580.0703430399999</v>
          </cell>
          <cell r="N257">
            <v>1577.0795183</v>
          </cell>
        </row>
        <row r="258">
          <cell r="A258" t="str">
            <v>OLC6O</v>
          </cell>
          <cell r="B258" t="str">
            <v>OLC6OARS</v>
          </cell>
          <cell r="C258" t="str">
            <v>ON Tier 1 - Tasa Fija USD Ley Argentina ON Pesos</v>
          </cell>
          <cell r="D258">
            <v>872.58436438485421</v>
          </cell>
          <cell r="E258">
            <v>1670.0148806499999</v>
          </cell>
          <cell r="F258">
            <v>1648.34855748</v>
          </cell>
          <cell r="G258">
            <v>1640.17430558</v>
          </cell>
          <cell r="H258">
            <v>1619.9754</v>
          </cell>
          <cell r="I258">
            <v>1629.53837021</v>
          </cell>
          <cell r="J258">
            <v>1634.17976757</v>
          </cell>
          <cell r="K258">
            <v>1645.61052442</v>
          </cell>
          <cell r="L258">
            <v>1635.2485359</v>
          </cell>
          <cell r="M258">
            <v>1646.7632024899999</v>
          </cell>
          <cell r="N258">
            <v>1645.6116681599999</v>
          </cell>
        </row>
        <row r="259">
          <cell r="A259" t="str">
            <v>OLC7O</v>
          </cell>
          <cell r="B259" t="str">
            <v>OLC7OARS</v>
          </cell>
          <cell r="C259" t="str">
            <v>ON Tier 1 - Tasa Fija USD Ley Argentina ON Pesos</v>
          </cell>
          <cell r="D259">
            <v>1109.8526716797655</v>
          </cell>
          <cell r="E259">
            <v>1603.29266925</v>
          </cell>
          <cell r="F259">
            <v>1600.13369326</v>
          </cell>
          <cell r="G259">
            <v>1596.26089531</v>
          </cell>
          <cell r="H259">
            <v>1570.42588916</v>
          </cell>
          <cell r="I259">
            <v>1580.5783606499999</v>
          </cell>
          <cell r="J259">
            <v>1584.9109669300001</v>
          </cell>
          <cell r="K259">
            <v>1602.3793254300001</v>
          </cell>
          <cell r="L259">
            <v>1593.7775105600001</v>
          </cell>
          <cell r="M259">
            <v>1599.5777023999999</v>
          </cell>
          <cell r="N259">
            <v>1603.0181073199999</v>
          </cell>
        </row>
        <row r="260">
          <cell r="A260" t="str">
            <v>HJCFO</v>
          </cell>
          <cell r="B260" t="str">
            <v>HJCFOARS</v>
          </cell>
          <cell r="C260" t="str">
            <v>ON Tier 1 - Tasa Fija USD Ley Argentina ON Pesos</v>
          </cell>
          <cell r="D260">
            <v>5.9999999999986997</v>
          </cell>
          <cell r="E260">
            <v>1587.99161344</v>
          </cell>
          <cell r="F260">
            <v>1585.5821753299999</v>
          </cell>
          <cell r="G260">
            <v>1576.15546328</v>
          </cell>
          <cell r="H260">
            <v>1579.3163969</v>
          </cell>
          <cell r="I260">
            <v>1576.9869661499999</v>
          </cell>
          <cell r="J260">
            <v>1577.26114824</v>
          </cell>
          <cell r="K260">
            <v>1577.6299126199999</v>
          </cell>
          <cell r="L260">
            <v>1577.52759842</v>
          </cell>
          <cell r="M260">
            <v>1573.38653568</v>
          </cell>
          <cell r="N260">
            <v>1570.18681109</v>
          </cell>
        </row>
        <row r="261">
          <cell r="A261" t="str">
            <v>T672O</v>
          </cell>
          <cell r="B261" t="str">
            <v>T672OARS</v>
          </cell>
          <cell r="C261" t="str">
            <v>ON Tier 2 - Tasa Fija USD Ley Argentina ON Pesos</v>
          </cell>
          <cell r="D261">
            <v>128.87822322678244</v>
          </cell>
          <cell r="E261">
            <v>1561.4803315900001</v>
          </cell>
          <cell r="F261">
            <v>1557.1164236899999</v>
          </cell>
          <cell r="G261">
            <v>1556.3901340499999</v>
          </cell>
          <cell r="H261">
            <v>1562.0222529299999</v>
          </cell>
          <cell r="I261">
            <v>1552.22668015</v>
          </cell>
          <cell r="J261">
            <v>1556.63236155</v>
          </cell>
          <cell r="K261">
            <v>1555.4193542800001</v>
          </cell>
          <cell r="L261">
            <v>1551.6059846400001</v>
          </cell>
          <cell r="M261">
            <v>1551.6063739000001</v>
          </cell>
          <cell r="N261">
            <v>1540.1068363300001</v>
          </cell>
        </row>
        <row r="262">
          <cell r="A262" t="str">
            <v>CS48O</v>
          </cell>
          <cell r="B262" t="str">
            <v>CS48OARS</v>
          </cell>
          <cell r="C262" t="str">
            <v>ON Tier 1 - Tasa Fija USD Ley Argentina ON Pesos</v>
          </cell>
          <cell r="D262">
            <v>595.04663949397582</v>
          </cell>
          <cell r="E262">
            <v>1669.7825632300001</v>
          </cell>
          <cell r="F262">
            <v>1643.18606608</v>
          </cell>
          <cell r="G262">
            <v>1638.3029377800001</v>
          </cell>
          <cell r="H262">
            <v>1636.7164423900001</v>
          </cell>
          <cell r="I262">
            <v>1633.4700242700001</v>
          </cell>
          <cell r="J262">
            <v>1638.0004776400001</v>
          </cell>
          <cell r="K262">
            <v>1642.5717865399999</v>
          </cell>
          <cell r="L262">
            <v>1631.7964967099999</v>
          </cell>
          <cell r="M262">
            <v>1644.2466402699999</v>
          </cell>
          <cell r="N262">
            <v>1634.51918596</v>
          </cell>
        </row>
        <row r="263">
          <cell r="A263" t="str">
            <v>CS47O</v>
          </cell>
          <cell r="B263" t="str">
            <v>CS47OARS</v>
          </cell>
          <cell r="C263" t="str">
            <v>ON Tier 1 - Tasa Fija USD Ley Argentina ON Pesos</v>
          </cell>
          <cell r="D263">
            <v>703.37874916886551</v>
          </cell>
          <cell r="E263">
            <v>1658.7572551400001</v>
          </cell>
          <cell r="F263">
            <v>1631.8646662000001</v>
          </cell>
          <cell r="G263">
            <v>1624.7038505400001</v>
          </cell>
          <cell r="H263">
            <v>1618.6653146599999</v>
          </cell>
          <cell r="I263">
            <v>1617.7806622400001</v>
          </cell>
          <cell r="J263">
            <v>1622.3781504999999</v>
          </cell>
          <cell r="K263">
            <v>1629.411247</v>
          </cell>
          <cell r="L263">
            <v>1618.65256905</v>
          </cell>
          <cell r="M263">
            <v>1631.4691969099999</v>
          </cell>
          <cell r="N263">
            <v>1625.4393666999999</v>
          </cell>
        </row>
        <row r="264">
          <cell r="A264" t="str">
            <v>ZZC1O</v>
          </cell>
          <cell r="B264" t="str">
            <v>ZZC1OARS</v>
          </cell>
          <cell r="C264" t="str">
            <v>ON Tier 2 - Tasa Fija USD Ley Argentina ON Pesos</v>
          </cell>
          <cell r="D264">
            <v>129.99999999999861</v>
          </cell>
          <cell r="E264">
            <v>1584.22705802</v>
          </cell>
          <cell r="F264">
            <v>1579.77258418</v>
          </cell>
          <cell r="G264">
            <v>1579.10415893</v>
          </cell>
          <cell r="H264">
            <v>1584.8381204</v>
          </cell>
          <cell r="I264">
            <v>1574.83649788</v>
          </cell>
          <cell r="J264">
            <v>1579.34107395</v>
          </cell>
          <cell r="K264">
            <v>1578.0953824000001</v>
          </cell>
          <cell r="L264">
            <v>1574.1928343500001</v>
          </cell>
          <cell r="M264">
            <v>1574.23095754</v>
          </cell>
          <cell r="N264">
            <v>1562.49443148</v>
          </cell>
        </row>
        <row r="265">
          <cell r="A265" t="str">
            <v>BVCUO</v>
          </cell>
          <cell r="B265" t="str">
            <v>BVCUOARS</v>
          </cell>
          <cell r="C265" t="str">
            <v>ON Tier 3 - Tasa Fija USD Ley Argentina ON Pesos</v>
          </cell>
          <cell r="D265">
            <v>199.97335620603224</v>
          </cell>
          <cell r="E265">
            <v>1548.4795726499999</v>
          </cell>
          <cell r="F265">
            <v>1541.2328789799999</v>
          </cell>
          <cell r="G265">
            <v>1542.4767875099999</v>
          </cell>
          <cell r="H265">
            <v>1548.5257720499999</v>
          </cell>
          <cell r="I265">
            <v>1535.5025552899999</v>
          </cell>
          <cell r="J265">
            <v>1541.9034042999999</v>
          </cell>
          <cell r="K265">
            <v>1540.39297364</v>
          </cell>
          <cell r="L265">
            <v>1534.9628493299999</v>
          </cell>
          <cell r="M265">
            <v>1537.41154106</v>
          </cell>
          <cell r="N265">
            <v>1523.77808181</v>
          </cell>
        </row>
        <row r="266">
          <cell r="A266" t="str">
            <v>JNC6O</v>
          </cell>
          <cell r="B266" t="str">
            <v>JNC6OARS</v>
          </cell>
          <cell r="C266" t="str">
            <v>ON Tier 3 - Tasa Fija USD Ley Argentina ON Pesos</v>
          </cell>
          <cell r="D266">
            <v>346.23252824607908</v>
          </cell>
          <cell r="E266">
            <v>1660.33916316</v>
          </cell>
          <cell r="F266">
            <v>1575.0394042299999</v>
          </cell>
          <cell r="G266">
            <v>1576.21888014</v>
          </cell>
          <cell r="H266">
            <v>1581.4036267399999</v>
          </cell>
          <cell r="I266">
            <v>1562.3470036799999</v>
          </cell>
          <cell r="J266">
            <v>1572.67948787</v>
          </cell>
          <cell r="K266">
            <v>1571.0483220599999</v>
          </cell>
          <cell r="L266">
            <v>1562.8571523799999</v>
          </cell>
          <cell r="M266">
            <v>1570.0112305</v>
          </cell>
          <cell r="N266">
            <v>1555.1862982600001</v>
          </cell>
        </row>
        <row r="267">
          <cell r="A267" t="str">
            <v>HVS1O</v>
          </cell>
          <cell r="B267" t="str">
            <v>HVS1OARS</v>
          </cell>
          <cell r="C267" t="str">
            <v>ON Tier 3 - Tasa Fija USD Ley Argentina ON Pesos</v>
          </cell>
          <cell r="D267">
            <v>594.42736901395199</v>
          </cell>
          <cell r="E267">
            <v>1630.0334043299999</v>
          </cell>
          <cell r="F267">
            <v>1604.85789264</v>
          </cell>
          <cell r="G267">
            <v>1600.1499308699999</v>
          </cell>
          <cell r="H267">
            <v>1598.8688047099999</v>
          </cell>
          <cell r="I267">
            <v>1539.70190164</v>
          </cell>
          <cell r="J267">
            <v>1555.3921494900001</v>
          </cell>
          <cell r="K267">
            <v>1555.9700282599999</v>
          </cell>
          <cell r="L267">
            <v>1545.8633847900001</v>
          </cell>
          <cell r="M267">
            <v>1557.805728</v>
          </cell>
          <cell r="N267">
            <v>1548.60914583</v>
          </cell>
        </row>
        <row r="268">
          <cell r="A268"/>
          <cell r="B268"/>
          <cell r="C268"/>
          <cell r="D268"/>
        </row>
        <row r="269">
          <cell r="A269" t="str">
            <v>Obligaciones Negociables Hard USD - Ley Extranjera</v>
          </cell>
          <cell r="B269"/>
          <cell r="C269">
            <v>0</v>
          </cell>
          <cell r="D269">
            <v>0</v>
          </cell>
        </row>
        <row r="270">
          <cell r="A270"/>
          <cell r="B270"/>
          <cell r="C270"/>
          <cell r="D270"/>
        </row>
        <row r="271">
          <cell r="A271" t="str">
            <v>PNDCD</v>
          </cell>
          <cell r="B271" t="str">
            <v>PNDCDUSM</v>
          </cell>
          <cell r="C271" t="str">
            <v>ON Tier 1 - Tasa Fija USD Ley Extranjera ON</v>
          </cell>
          <cell r="D271">
            <v>104.87180242906405</v>
          </cell>
          <cell r="E271">
            <v>0.43057962</v>
          </cell>
          <cell r="F271">
            <v>0.43079339999999999</v>
          </cell>
          <cell r="G271">
            <v>0.43039648000000003</v>
          </cell>
          <cell r="H271">
            <v>0.43064734999999998</v>
          </cell>
          <cell r="I271">
            <v>0.43072081000000001</v>
          </cell>
          <cell r="J271">
            <v>0.43113478999999999</v>
          </cell>
          <cell r="K271">
            <v>0.43099886999999998</v>
          </cell>
          <cell r="L271">
            <v>0.43084436999999998</v>
          </cell>
          <cell r="M271">
            <v>0.43164021000000002</v>
          </cell>
          <cell r="N271">
            <v>0.43170298000000001</v>
          </cell>
        </row>
        <row r="272">
          <cell r="A272" t="str">
            <v>YCAMD</v>
          </cell>
          <cell r="B272" t="str">
            <v>YCAMDUSM</v>
          </cell>
          <cell r="C272" t="str">
            <v>ON Tier 1 - Tasa Fija USD Ley Extranjera ON</v>
          </cell>
          <cell r="D272">
            <v>273.17418470219133</v>
          </cell>
          <cell r="E272">
            <v>1.07503807</v>
          </cell>
          <cell r="F272">
            <v>1.0768749500000001</v>
          </cell>
          <cell r="G272">
            <v>1.0748651499999999</v>
          </cell>
          <cell r="H272">
            <v>1.0765618100000001</v>
          </cell>
          <cell r="I272">
            <v>1.0771994899999999</v>
          </cell>
          <cell r="J272">
            <v>1.0797998099999999</v>
          </cell>
          <cell r="K272">
            <v>1.08003118</v>
          </cell>
          <cell r="L272">
            <v>1.0793749699999999</v>
          </cell>
          <cell r="M272">
            <v>1.08439069</v>
          </cell>
          <cell r="N272">
            <v>1.0851238000000001</v>
          </cell>
        </row>
        <row r="273">
          <cell r="A273" t="str">
            <v>YMCID</v>
          </cell>
          <cell r="B273" t="str">
            <v>YMCICUSC</v>
          </cell>
          <cell r="C273" t="str">
            <v>ON Tier 1 - Tasa Fija USD Ley Extranjera ON</v>
          </cell>
          <cell r="D273">
            <v>506.18422303035379</v>
          </cell>
          <cell r="E273">
            <v>0.94788333999999996</v>
          </cell>
          <cell r="F273">
            <v>0.94382655999999998</v>
          </cell>
          <cell r="G273">
            <v>0.94779880000000005</v>
          </cell>
          <cell r="H273">
            <v>0.93765714</v>
          </cell>
          <cell r="I273">
            <v>0.94502184</v>
          </cell>
          <cell r="J273">
            <v>0.95358843000000004</v>
          </cell>
          <cell r="K273">
            <v>0.95394294000000002</v>
          </cell>
          <cell r="L273">
            <v>0.95326432000000005</v>
          </cell>
          <cell r="M273">
            <v>0.95414409</v>
          </cell>
          <cell r="N273">
            <v>0.96196649000000001</v>
          </cell>
        </row>
        <row r="274">
          <cell r="A274" t="str">
            <v>AER4D</v>
          </cell>
          <cell r="B274" t="str">
            <v>AER4DUSM</v>
          </cell>
          <cell r="C274" t="str">
            <v>ON Tier 1 - Tasa Fija USD Ley Extranjera ON</v>
          </cell>
          <cell r="D274">
            <v>503.788487898124</v>
          </cell>
          <cell r="E274">
            <v>0.76529959000000003</v>
          </cell>
          <cell r="F274">
            <v>0.76705151999999999</v>
          </cell>
          <cell r="G274">
            <v>0.76524217999999999</v>
          </cell>
          <cell r="H274">
            <v>0.76705263000000001</v>
          </cell>
          <cell r="I274">
            <v>0.76763658999999995</v>
          </cell>
          <cell r="J274">
            <v>0.77007181000000002</v>
          </cell>
          <cell r="K274">
            <v>0.77038994000000005</v>
          </cell>
          <cell r="L274">
            <v>0.76981931000000003</v>
          </cell>
          <cell r="M274">
            <v>0.77459822</v>
          </cell>
          <cell r="N274">
            <v>0.77552712999999995</v>
          </cell>
        </row>
        <row r="275">
          <cell r="A275" t="str">
            <v>YMCUD</v>
          </cell>
          <cell r="B275" t="str">
            <v>YMCUDUSM</v>
          </cell>
          <cell r="C275" t="str">
            <v>ON Tier 1 - Tasa Fija USD Ley Extranjera ON</v>
          </cell>
          <cell r="D275">
            <v>752.42735046702558</v>
          </cell>
          <cell r="E275">
            <v>1.00402499</v>
          </cell>
          <cell r="F275">
            <v>1.00648195</v>
          </cell>
          <cell r="G275">
            <v>1.00401118</v>
          </cell>
          <cell r="H275">
            <v>1.00696154</v>
          </cell>
          <cell r="I275">
            <v>1.00774491</v>
          </cell>
          <cell r="J275">
            <v>1.01126267</v>
          </cell>
          <cell r="K275">
            <v>1.0117200399999999</v>
          </cell>
          <cell r="L275">
            <v>1.01100031</v>
          </cell>
          <cell r="M275">
            <v>1.0179880699999999</v>
          </cell>
          <cell r="N275">
            <v>1.0196289700000001</v>
          </cell>
        </row>
        <row r="276">
          <cell r="A276" t="str">
            <v>BYCHD</v>
          </cell>
          <cell r="B276" t="str">
            <v>BYCHDUSM</v>
          </cell>
          <cell r="C276" t="str">
            <v>ON Tier 1 - Tasa Fija USD Ley Extranjera ON</v>
          </cell>
          <cell r="D276">
            <v>688.1061055472145</v>
          </cell>
          <cell r="E276">
            <v>1.1128201900000001</v>
          </cell>
          <cell r="F276">
            <v>1.1160159300000001</v>
          </cell>
          <cell r="G276">
            <v>1.1128526999999999</v>
          </cell>
          <cell r="H276">
            <v>1.1162198999999999</v>
          </cell>
          <cell r="I276">
            <v>1.1172740000000001</v>
          </cell>
          <cell r="J276">
            <v>1.1001094600000001</v>
          </cell>
          <cell r="K276">
            <v>1.08359951</v>
          </cell>
          <cell r="L276">
            <v>1.0826337399999999</v>
          </cell>
          <cell r="M276">
            <v>1.0912477937510801</v>
          </cell>
          <cell r="N276">
            <v>1.0930719652215399</v>
          </cell>
        </row>
        <row r="277">
          <cell r="A277" t="str">
            <v>YMC1D</v>
          </cell>
          <cell r="B277" t="str">
            <v>YMC1CUSC</v>
          </cell>
          <cell r="C277" t="str">
            <v>ON Tier 1 - Tasa Fija USD Ley Extranjera ON</v>
          </cell>
          <cell r="D277">
            <v>886.62428827711733</v>
          </cell>
          <cell r="E277">
            <v>1.1056076100000001</v>
          </cell>
          <cell r="F277">
            <v>1.1089559099999999</v>
          </cell>
          <cell r="G277">
            <v>1.1056827600000001</v>
          </cell>
          <cell r="H277">
            <v>1.10963429</v>
          </cell>
          <cell r="I277">
            <v>1.1106999399999999</v>
          </cell>
          <cell r="J277">
            <v>1.11537017</v>
          </cell>
          <cell r="K277">
            <v>1.1161095299999999</v>
          </cell>
          <cell r="L277">
            <v>1.1151493100000001</v>
          </cell>
          <cell r="M277">
            <v>1.1244573099999999</v>
          </cell>
          <cell r="N277">
            <v>1.1267161299999999</v>
          </cell>
        </row>
        <row r="278">
          <cell r="A278" t="str">
            <v>ARC1D</v>
          </cell>
          <cell r="B278" t="str">
            <v>ARC1DUSM</v>
          </cell>
          <cell r="C278" t="str">
            <v>ON Tier 1 - Tasa Fija USD Ley Extranjera ON</v>
          </cell>
          <cell r="D278">
            <v>911.22553864446547</v>
          </cell>
          <cell r="E278">
            <v>1.06359541</v>
          </cell>
          <cell r="F278">
            <v>1.0663430899999999</v>
          </cell>
          <cell r="G278">
            <v>1.0636326700000001</v>
          </cell>
          <cell r="H278">
            <v>1.0671877700000001</v>
          </cell>
          <cell r="I278">
            <v>1.0680417799999999</v>
          </cell>
          <cell r="J278">
            <v>1.0720358400000001</v>
          </cell>
          <cell r="K278">
            <v>1.07256431</v>
          </cell>
          <cell r="L278">
            <v>1.0718163199999999</v>
          </cell>
          <cell r="M278">
            <v>1.0798014300000001</v>
          </cell>
          <cell r="N278">
            <v>1.08184904</v>
          </cell>
        </row>
        <row r="279">
          <cell r="A279" t="str">
            <v>TTCDD</v>
          </cell>
          <cell r="B279" t="str">
            <v>TTCDDUSM</v>
          </cell>
          <cell r="C279" t="str">
            <v>ON Tier 1 - Tasa Fija USD Ley Extranjera ON</v>
          </cell>
          <cell r="D279">
            <v>1266.0248539034844</v>
          </cell>
          <cell r="E279">
            <v>1.07980225</v>
          </cell>
          <cell r="F279">
            <v>1.07908044</v>
          </cell>
          <cell r="G279">
            <v>1.0804749199999999</v>
          </cell>
          <cell r="H279">
            <v>1.0877171800000001</v>
          </cell>
          <cell r="I279">
            <v>1.08719162</v>
          </cell>
          <cell r="J279">
            <v>1.08600257</v>
          </cell>
          <cell r="K279">
            <v>1.0859527499999999</v>
          </cell>
          <cell r="L279">
            <v>1.0885</v>
          </cell>
          <cell r="M279">
            <v>1.0900512</v>
          </cell>
          <cell r="N279">
            <v>1.0935317899999999</v>
          </cell>
        </row>
        <row r="280">
          <cell r="A280" t="str">
            <v>YMCXD</v>
          </cell>
          <cell r="B280" t="str">
            <v>YMCXDUSM</v>
          </cell>
          <cell r="C280" t="str">
            <v>ON Tier 1 - Tasa Fija USD Ley Extranjera ON</v>
          </cell>
          <cell r="D280">
            <v>1343.0184098373177</v>
          </cell>
          <cell r="E280">
            <v>1.0848704899999999</v>
          </cell>
          <cell r="F280">
            <v>1.0829392499999999</v>
          </cell>
          <cell r="G280">
            <v>1.0803037799999999</v>
          </cell>
          <cell r="H280">
            <v>1.0825350199999999</v>
          </cell>
          <cell r="I280">
            <v>1.0800758399999999</v>
          </cell>
          <cell r="J280">
            <v>1.08540773</v>
          </cell>
          <cell r="K280">
            <v>1.0864257100000001</v>
          </cell>
          <cell r="L280">
            <v>1.0868810600000001</v>
          </cell>
          <cell r="M280">
            <v>1.0890453</v>
          </cell>
          <cell r="N280">
            <v>1.0906684200000001</v>
          </cell>
        </row>
        <row r="281">
          <cell r="A281" t="str">
            <v>PNXCD</v>
          </cell>
          <cell r="B281" t="str">
            <v>PNXCDUSM</v>
          </cell>
          <cell r="C281" t="str">
            <v>ON Tier 1 - Tasa Fija USD Ley Extranjera ON</v>
          </cell>
          <cell r="D281">
            <v>1368.3924420830499</v>
          </cell>
          <cell r="E281">
            <v>1.13060614</v>
          </cell>
          <cell r="F281">
            <v>1.1012413000000001</v>
          </cell>
          <cell r="G281">
            <v>1.0986557100000001</v>
          </cell>
          <cell r="H281">
            <v>1.1033381799999999</v>
          </cell>
          <cell r="I281">
            <v>1.10410605</v>
          </cell>
          <cell r="J281">
            <v>1.1084886300000001</v>
          </cell>
          <cell r="K281">
            <v>1.1089723300000001</v>
          </cell>
          <cell r="L281">
            <v>1.1084459099999999</v>
          </cell>
          <cell r="M281">
            <v>1.11737555</v>
          </cell>
          <cell r="N281">
            <v>1.1202698900000001</v>
          </cell>
        </row>
        <row r="282">
          <cell r="A282" t="str">
            <v>PLC5D</v>
          </cell>
          <cell r="B282" t="str">
            <v>PLC5DUSM</v>
          </cell>
          <cell r="C282" t="str">
            <v>ON Tier 1 - Tasa Fija USD Ley Extranjera ON</v>
          </cell>
          <cell r="D282">
            <v>1398.8140757603048</v>
          </cell>
          <cell r="E282">
            <v>1.0818354400000001</v>
          </cell>
          <cell r="F282">
            <v>1.08195051</v>
          </cell>
          <cell r="G282">
            <v>1.0830703100000001</v>
          </cell>
          <cell r="H282">
            <v>1.0842600099999999</v>
          </cell>
          <cell r="I282">
            <v>1.08153996</v>
          </cell>
          <cell r="J282">
            <v>1.08424305</v>
          </cell>
          <cell r="K282">
            <v>1.0860360600000001</v>
          </cell>
          <cell r="L282">
            <v>1.09001697</v>
          </cell>
          <cell r="M282">
            <v>1.0946808400000001</v>
          </cell>
          <cell r="N282">
            <v>1.0975870999999999</v>
          </cell>
        </row>
        <row r="283">
          <cell r="A283" t="str">
            <v>TSC3D</v>
          </cell>
          <cell r="B283" t="str">
            <v>TSC3CUSC</v>
          </cell>
          <cell r="C283" t="str">
            <v>ON Tier 1 - Tasa Fija USD Ley Extranjera ON</v>
          </cell>
          <cell r="D283">
            <v>1455.9283445268186</v>
          </cell>
          <cell r="E283">
            <v>1.0945</v>
          </cell>
          <cell r="F283">
            <v>1.07820738</v>
          </cell>
          <cell r="G283">
            <v>1.07571146</v>
          </cell>
          <cell r="H283">
            <v>1.0804950799999999</v>
          </cell>
          <cell r="I283">
            <v>1.0812279600000001</v>
          </cell>
          <cell r="J283">
            <v>1.1085</v>
          </cell>
          <cell r="K283">
            <v>1.0860431399999999</v>
          </cell>
          <cell r="L283">
            <v>1.085574</v>
          </cell>
          <cell r="M283">
            <v>1.09446431</v>
          </cell>
          <cell r="N283">
            <v>1.09744953</v>
          </cell>
        </row>
        <row r="284">
          <cell r="A284" t="str">
            <v>YFCJD</v>
          </cell>
          <cell r="B284" t="str">
            <v>YFCJDUSM</v>
          </cell>
          <cell r="C284" t="str">
            <v>ON Tier 1 - Tasa Fija USD Ley Extranjera ON</v>
          </cell>
          <cell r="D284">
            <v>1495.8933156122844</v>
          </cell>
          <cell r="E284">
            <v>1.07142794</v>
          </cell>
          <cell r="F284">
            <v>1.07059989</v>
          </cell>
          <cell r="G284">
            <v>1.06832141</v>
          </cell>
          <cell r="H284">
            <v>1.07304556</v>
          </cell>
          <cell r="I284">
            <v>1.0800075200000001</v>
          </cell>
          <cell r="J284">
            <v>1.07785551</v>
          </cell>
          <cell r="K284">
            <v>1.08000217</v>
          </cell>
          <cell r="L284">
            <v>1.08450118</v>
          </cell>
          <cell r="M284">
            <v>1.0864000300000001</v>
          </cell>
          <cell r="N284">
            <v>1.04998645</v>
          </cell>
        </row>
        <row r="285">
          <cell r="A285" t="str">
            <v>MGCMD</v>
          </cell>
          <cell r="B285" t="str">
            <v>MGCMDUSM</v>
          </cell>
          <cell r="C285" t="str">
            <v>ON Tier 1 - Tasa Fija USD Ley Extranjera ON</v>
          </cell>
          <cell r="D285">
            <v>1515.5396847911268</v>
          </cell>
          <cell r="E285">
            <v>1.0589999999999999</v>
          </cell>
          <cell r="F285">
            <v>1.0650404600000001</v>
          </cell>
          <cell r="G285">
            <v>1.03980527</v>
          </cell>
          <cell r="H285">
            <v>1.0445403799999999</v>
          </cell>
          <cell r="I285">
            <v>1.04522797</v>
          </cell>
          <cell r="J285">
            <v>1.0725</v>
          </cell>
          <cell r="K285">
            <v>1.0814249499999999</v>
          </cell>
          <cell r="L285">
            <v>1.0917025899999999</v>
          </cell>
          <cell r="M285">
            <v>1.0825</v>
          </cell>
          <cell r="N285">
            <v>1.06108117</v>
          </cell>
        </row>
        <row r="286">
          <cell r="A286" t="str">
            <v>TTCAD</v>
          </cell>
          <cell r="B286" t="str">
            <v>TTCADUSM</v>
          </cell>
          <cell r="C286" t="str">
            <v>ON Tier 1 - Tasa Fija USD Ley Extranjera ON</v>
          </cell>
          <cell r="D286">
            <v>1599.0597200103896</v>
          </cell>
          <cell r="E286">
            <v>1.04852463</v>
          </cell>
          <cell r="F286">
            <v>1.0496383199999999</v>
          </cell>
          <cell r="G286">
            <v>1.0332718299999999</v>
          </cell>
          <cell r="H286">
            <v>1.0449999999999999</v>
          </cell>
          <cell r="I286">
            <v>1.0472302099999999</v>
          </cell>
          <cell r="J286">
            <v>1.0500576500000001</v>
          </cell>
          <cell r="K286">
            <v>1.04305099</v>
          </cell>
          <cell r="L286">
            <v>1.04833964</v>
          </cell>
          <cell r="M286">
            <v>1.05109439</v>
          </cell>
          <cell r="N286">
            <v>1.0549999999999999</v>
          </cell>
        </row>
        <row r="287">
          <cell r="A287" t="str">
            <v>PLC4D</v>
          </cell>
          <cell r="B287" t="str">
            <v>PLC4DUSM</v>
          </cell>
          <cell r="C287" t="str">
            <v>ON Tier 1 - Tasa Fija USD Ley Extranjera ON</v>
          </cell>
          <cell r="D287">
            <v>1642.6559730328825</v>
          </cell>
          <cell r="E287">
            <v>1.0817199099999999</v>
          </cell>
          <cell r="F287">
            <v>1.0909373499999999</v>
          </cell>
          <cell r="G287">
            <v>1.0905</v>
          </cell>
          <cell r="H287">
            <v>1.0909203300000001</v>
          </cell>
          <cell r="I287">
            <v>1.0944942200000001</v>
          </cell>
          <cell r="J287">
            <v>1.0971138899999999</v>
          </cell>
          <cell r="K287">
            <v>1.09553441</v>
          </cell>
          <cell r="L287">
            <v>1.10598888</v>
          </cell>
          <cell r="M287">
            <v>1.10145662</v>
          </cell>
          <cell r="N287">
            <v>1.10597477</v>
          </cell>
        </row>
        <row r="288">
          <cell r="A288" t="str">
            <v>VSCVD</v>
          </cell>
          <cell r="B288" t="str">
            <v>VSCVDUSM</v>
          </cell>
          <cell r="C288" t="str">
            <v>ON Tier 1 - Tasa Fija USD Ley Extranjera ON</v>
          </cell>
          <cell r="D288">
            <v>1651.0694684536556</v>
          </cell>
          <cell r="E288">
            <v>1.0974999999999999</v>
          </cell>
          <cell r="F288">
            <v>1.1037914200000001</v>
          </cell>
          <cell r="G288">
            <v>1.10845766</v>
          </cell>
          <cell r="H288">
            <v>1.10596129</v>
          </cell>
          <cell r="I288">
            <v>1.1074784200000001</v>
          </cell>
          <cell r="J288">
            <v>1.1093973399999999</v>
          </cell>
          <cell r="K288">
            <v>1.10941227</v>
          </cell>
          <cell r="L288">
            <v>1.10997543</v>
          </cell>
          <cell r="M288">
            <v>1.10985983</v>
          </cell>
          <cell r="N288">
            <v>1.11698634</v>
          </cell>
        </row>
        <row r="289">
          <cell r="A289" t="str">
            <v>YM34D</v>
          </cell>
          <cell r="B289" t="str">
            <v>YMCICUSC</v>
          </cell>
          <cell r="C289" t="str">
            <v>ON Tier 1 - Tasa Fija USD Ley Extranjera ON</v>
          </cell>
          <cell r="D289">
            <v>1830.2528988865583</v>
          </cell>
          <cell r="E289">
            <v>1.0625699500000001</v>
          </cell>
          <cell r="F289">
            <v>1.0623716299999999</v>
          </cell>
          <cell r="G289">
            <v>1.0688041399999999</v>
          </cell>
          <cell r="H289">
            <v>1.0660977700000001</v>
          </cell>
          <cell r="I289">
            <v>1.0679434400000001</v>
          </cell>
          <cell r="J289">
            <v>1.0734451599999999</v>
          </cell>
          <cell r="K289">
            <v>1.08178675</v>
          </cell>
          <cell r="L289">
            <v>1.07740013</v>
          </cell>
          <cell r="M289">
            <v>1.0809056500000001</v>
          </cell>
          <cell r="N289">
            <v>1.08691721</v>
          </cell>
        </row>
        <row r="290">
          <cell r="A290" t="str">
            <v>YMCJD</v>
          </cell>
          <cell r="B290" t="str">
            <v>YMCJDUSM</v>
          </cell>
          <cell r="C290" t="str">
            <v>YMCJO - Z-Spread NY</v>
          </cell>
          <cell r="D290">
            <v>1920.3459166218349</v>
          </cell>
          <cell r="E290">
            <v>1.00345127</v>
          </cell>
          <cell r="F290">
            <v>1.0100151100000001</v>
          </cell>
          <cell r="G290">
            <v>1.01404151</v>
          </cell>
          <cell r="H290">
            <v>1.01162847</v>
          </cell>
          <cell r="I290">
            <v>1.00857138</v>
          </cell>
          <cell r="J290">
            <v>1.01252601</v>
          </cell>
          <cell r="K290">
            <v>1.01312208</v>
          </cell>
          <cell r="L290">
            <v>1.0146640600000001</v>
          </cell>
          <cell r="M290">
            <v>1.0157951300000001</v>
          </cell>
          <cell r="N290">
            <v>1.02360344</v>
          </cell>
        </row>
        <row r="291">
          <cell r="A291" t="str">
            <v>CAC5D</v>
          </cell>
          <cell r="B291" t="str">
            <v>CAC5DUSM</v>
          </cell>
          <cell r="C291" t="str">
            <v>ON Tier 2 - Tasa Fija USD Ley Extranjera ON</v>
          </cell>
          <cell r="D291">
            <v>395.35807915881799</v>
          </cell>
          <cell r="E291">
            <v>0.54447988000000003</v>
          </cell>
          <cell r="F291">
            <v>0.54550215000000002</v>
          </cell>
          <cell r="G291">
            <v>0.54425330999999999</v>
          </cell>
          <cell r="H291">
            <v>0.54499101000000005</v>
          </cell>
          <cell r="I291">
            <v>0.54543483000000004</v>
          </cell>
          <cell r="J291">
            <v>0.54681601999999996</v>
          </cell>
          <cell r="K291">
            <v>0.54692094000000002</v>
          </cell>
          <cell r="L291">
            <v>0.54661514</v>
          </cell>
          <cell r="M291">
            <v>0.54959164999999999</v>
          </cell>
          <cell r="N291">
            <v>0.55012819999999996</v>
          </cell>
        </row>
        <row r="292">
          <cell r="A292" t="str">
            <v>TLCMD</v>
          </cell>
          <cell r="B292" t="str">
            <v>TLCMDUSM</v>
          </cell>
          <cell r="C292" t="str">
            <v>ON Tier 2 - Tasa Fija USD Ley Extranjera ON</v>
          </cell>
          <cell r="D292">
            <v>1172.3555810661173</v>
          </cell>
          <cell r="E292">
            <v>1.0977331299999999</v>
          </cell>
          <cell r="F292">
            <v>1.09611803</v>
          </cell>
          <cell r="G292">
            <v>1.09882765</v>
          </cell>
          <cell r="H292">
            <v>1.1000073500000001</v>
          </cell>
          <cell r="I292">
            <v>1.1054717599999999</v>
          </cell>
          <cell r="J292">
            <v>1.1112585500000001</v>
          </cell>
          <cell r="K292">
            <v>1.1157946999999999</v>
          </cell>
          <cell r="L292">
            <v>1.12282159</v>
          </cell>
          <cell r="M292">
            <v>1.12294355</v>
          </cell>
          <cell r="N292">
            <v>1.12747284</v>
          </cell>
        </row>
        <row r="293">
          <cell r="A293" t="str">
            <v>TLCPD</v>
          </cell>
          <cell r="B293" t="str">
            <v>TLCMDUSM</v>
          </cell>
          <cell r="C293" t="str">
            <v>ON Tier 2 - Tasa Fija USD Ley Extranjera ON</v>
          </cell>
          <cell r="D293">
            <v>1712.257474134507</v>
          </cell>
          <cell r="E293">
            <v>1.09914179</v>
          </cell>
          <cell r="F293">
            <v>1.11409168</v>
          </cell>
          <cell r="G293">
            <v>1.10221327</v>
          </cell>
          <cell r="H293">
            <v>1.1034559100000001</v>
          </cell>
          <cell r="I293">
            <v>1.1049521600000001</v>
          </cell>
          <cell r="J293">
            <v>1.1079307300000001</v>
          </cell>
          <cell r="K293">
            <v>1.10971091</v>
          </cell>
          <cell r="L293">
            <v>1.10850268</v>
          </cell>
          <cell r="M293">
            <v>1.11700822</v>
          </cell>
          <cell r="N293">
            <v>1.1201880799999999</v>
          </cell>
        </row>
        <row r="294">
          <cell r="A294" t="str">
            <v>AEC2D</v>
          </cell>
          <cell r="B294" t="str">
            <v>AEC2DUSM</v>
          </cell>
          <cell r="C294" t="str">
            <v>ON Tier 3 - Tasa Fija USD Ley Extranjera ON</v>
          </cell>
          <cell r="D294">
            <v>225.8922159540013</v>
          </cell>
          <cell r="E294">
            <v>0.52962982000000003</v>
          </cell>
          <cell r="F294">
            <v>0.53056247000000001</v>
          </cell>
          <cell r="G294">
            <v>0.5296265</v>
          </cell>
          <cell r="H294">
            <v>0.53048466999999999</v>
          </cell>
          <cell r="I294">
            <v>0.53089984000000001</v>
          </cell>
          <cell r="J294">
            <v>0.53194775999999999</v>
          </cell>
          <cell r="K294">
            <v>0.53200855999999996</v>
          </cell>
          <cell r="L294">
            <v>0.53172193000000001</v>
          </cell>
          <cell r="M294">
            <v>0.53377374</v>
          </cell>
          <cell r="N294">
            <v>0.53396489000000003</v>
          </cell>
        </row>
        <row r="295">
          <cell r="A295"/>
          <cell r="B295"/>
          <cell r="C295"/>
          <cell r="D295"/>
        </row>
        <row r="296">
          <cell r="A296"/>
          <cell r="B296"/>
          <cell r="C296"/>
          <cell r="D296"/>
        </row>
        <row r="297">
          <cell r="A297" t="str">
            <v>PNDCO</v>
          </cell>
          <cell r="B297" t="str">
            <v>PNDCOARS</v>
          </cell>
          <cell r="C297" t="str">
            <v>ON Tier 1 - Tasa Fija USD Ley Extranjera ON Pesos</v>
          </cell>
          <cell r="D297">
            <v>102.47180281925395</v>
          </cell>
          <cell r="E297">
            <v>680.39961714000003</v>
          </cell>
          <cell r="F297">
            <v>680.74955977000002</v>
          </cell>
          <cell r="G297">
            <v>671.83958222000001</v>
          </cell>
          <cell r="H297">
            <v>674.60132973999998</v>
          </cell>
          <cell r="I297">
            <v>673.37737116999995</v>
          </cell>
          <cell r="J297">
            <v>675.06734539000001</v>
          </cell>
          <cell r="K297">
            <v>675.01872021999998</v>
          </cell>
          <cell r="L297">
            <v>674.47513164999998</v>
          </cell>
          <cell r="M297">
            <v>677.49887257</v>
          </cell>
          <cell r="N297">
            <v>677.50654621000001</v>
          </cell>
        </row>
        <row r="298">
          <cell r="A298" t="str">
            <v>YCAMO</v>
          </cell>
          <cell r="B298" t="str">
            <v>YCAMOARS</v>
          </cell>
          <cell r="C298" t="str">
            <v>ON Tier 1 - Tasa Fija USD Ley Extranjera ON Pesos</v>
          </cell>
          <cell r="D298">
            <v>272.91808567018097</v>
          </cell>
          <cell r="E298">
            <v>1651.0226603599999</v>
          </cell>
          <cell r="F298">
            <v>1651.82838666</v>
          </cell>
          <cell r="G298">
            <v>1626.42378676</v>
          </cell>
          <cell r="H298">
            <v>1635.4193837299999</v>
          </cell>
          <cell r="I298">
            <v>1630.4786718099999</v>
          </cell>
          <cell r="J298">
            <v>1634.9062748399999</v>
          </cell>
          <cell r="K298">
            <v>1634.5687270000001</v>
          </cell>
          <cell r="L298">
            <v>1633.73603619</v>
          </cell>
          <cell r="M298">
            <v>1641.03602925</v>
          </cell>
          <cell r="N298">
            <v>1641.0518640600001</v>
          </cell>
        </row>
        <row r="299">
          <cell r="A299" t="str">
            <v>YMCIO</v>
          </cell>
          <cell r="B299" t="str">
            <v>YMCIOARS</v>
          </cell>
          <cell r="C299" t="str">
            <v>ON Tier 1 - Tasa Fija USD Ley Extranjera ON Pesos</v>
          </cell>
          <cell r="D299">
            <v>493.33789521239106</v>
          </cell>
          <cell r="E299">
            <v>1464.8893294100001</v>
          </cell>
          <cell r="F299">
            <v>1456.41626339</v>
          </cell>
          <cell r="G299">
            <v>1437.0815654800001</v>
          </cell>
          <cell r="H299">
            <v>1454.4084709900001</v>
          </cell>
          <cell r="I299">
            <v>1443.3023758500001</v>
          </cell>
          <cell r="J299">
            <v>1447.4330007900001</v>
          </cell>
          <cell r="K299">
            <v>1447.29368899</v>
          </cell>
          <cell r="L299">
            <v>1462.8308891199999</v>
          </cell>
          <cell r="M299">
            <v>1468.58118848</v>
          </cell>
          <cell r="N299">
            <v>1479.9957526200001</v>
          </cell>
        </row>
        <row r="300">
          <cell r="A300" t="str">
            <v>AER4O</v>
          </cell>
          <cell r="B300" t="str">
            <v>AER4OARS</v>
          </cell>
          <cell r="C300" t="str">
            <v>ON Tier 1 - Tasa Fija USD Ley Extranjera ON Pesos</v>
          </cell>
          <cell r="D300">
            <v>494.22462518403273</v>
          </cell>
          <cell r="E300">
            <v>1174.0506389100001</v>
          </cell>
          <cell r="F300">
            <v>1174.6390451</v>
          </cell>
          <cell r="G300">
            <v>1157.77750197</v>
          </cell>
          <cell r="H300">
            <v>1164.9620601199999</v>
          </cell>
          <cell r="I300">
            <v>1162.83814723</v>
          </cell>
          <cell r="J300">
            <v>1166.17684304</v>
          </cell>
          <cell r="K300">
            <v>1166.03504213</v>
          </cell>
          <cell r="L300">
            <v>1165.6023578700001</v>
          </cell>
          <cell r="M300">
            <v>1170.81319816</v>
          </cell>
          <cell r="N300">
            <v>1170.89048258</v>
          </cell>
        </row>
        <row r="301">
          <cell r="A301" t="str">
            <v>YMCUO</v>
          </cell>
          <cell r="B301" t="str">
            <v>YMCUOARS</v>
          </cell>
          <cell r="C301" t="str">
            <v>ON Tier 1 - Tasa Fija USD Ley Extranjera ON Pesos</v>
          </cell>
          <cell r="D301">
            <v>733.69942903217543</v>
          </cell>
          <cell r="E301">
            <v>1541.93314033</v>
          </cell>
          <cell r="F301">
            <v>1538.12442255</v>
          </cell>
          <cell r="G301">
            <v>1543.41065622</v>
          </cell>
          <cell r="H301">
            <v>1549.1280845599999</v>
          </cell>
          <cell r="I301">
            <v>1531.9112584300001</v>
          </cell>
          <cell r="J301">
            <v>1537.5172099900001</v>
          </cell>
          <cell r="K301">
            <v>1537.8070823200001</v>
          </cell>
          <cell r="L301">
            <v>1542.4532736399999</v>
          </cell>
          <cell r="M301">
            <v>1541.58013951</v>
          </cell>
          <cell r="N301">
            <v>1540.2658062099999</v>
          </cell>
        </row>
        <row r="302">
          <cell r="A302" t="str">
            <v>BYCHO</v>
          </cell>
          <cell r="B302" t="str">
            <v>BYCHOARS</v>
          </cell>
          <cell r="C302" t="str">
            <v>ON Tier 1 - Tasa Fija USD Ley Extranjera ON Pesos</v>
          </cell>
          <cell r="D302">
            <v>686.34279567963642</v>
          </cell>
          <cell r="E302">
            <v>1695.9550425800001</v>
          </cell>
          <cell r="F302">
            <v>1696.80859736</v>
          </cell>
          <cell r="G302">
            <v>1672.6493298099999</v>
          </cell>
          <cell r="H302">
            <v>1684.19839484</v>
          </cell>
          <cell r="I302">
            <v>1681.87707383</v>
          </cell>
          <cell r="J302">
            <v>1686.9339341100001</v>
          </cell>
          <cell r="K302">
            <v>1624.30413942</v>
          </cell>
          <cell r="L302">
            <v>1623.9837661199999</v>
          </cell>
          <cell r="M302">
            <v>1631.2388888200001</v>
          </cell>
          <cell r="N302">
            <v>1631.4062638099999</v>
          </cell>
        </row>
        <row r="303">
          <cell r="A303" t="str">
            <v>YMC1O</v>
          </cell>
          <cell r="B303" t="str">
            <v>YMC1OARS</v>
          </cell>
          <cell r="C303" t="str">
            <v>ON Tier 1 - Tasa Fija USD Ley Extranjera ON Pesos</v>
          </cell>
          <cell r="D303">
            <v>881.98981900566162</v>
          </cell>
          <cell r="E303">
            <v>1694.75026538</v>
          </cell>
          <cell r="F303">
            <v>1695.63188713</v>
          </cell>
          <cell r="G303">
            <v>1674.2116785400001</v>
          </cell>
          <cell r="H303">
            <v>1686.1650163100001</v>
          </cell>
          <cell r="I303">
            <v>1685.9929542</v>
          </cell>
          <cell r="J303">
            <v>1691.26630542</v>
          </cell>
          <cell r="K303">
            <v>1691.4373983</v>
          </cell>
          <cell r="L303">
            <v>1691.08940319</v>
          </cell>
          <cell r="M303">
            <v>1698.6443021600001</v>
          </cell>
          <cell r="N303">
            <v>1698.9831938299999</v>
          </cell>
        </row>
        <row r="304">
          <cell r="A304" t="str">
            <v>ARC1O</v>
          </cell>
          <cell r="B304" t="str">
            <v>ARC1OARS</v>
          </cell>
          <cell r="C304" t="str">
            <v>ON Tier 1 - Tasa Fija USD Ley Extranjera ON Pesos</v>
          </cell>
          <cell r="D304">
            <v>893.80976687394332</v>
          </cell>
          <cell r="E304">
            <v>1640.1316963700001</v>
          </cell>
          <cell r="F304">
            <v>1640.98729377</v>
          </cell>
          <cell r="G304">
            <v>1621.0590653100001</v>
          </cell>
          <cell r="H304">
            <v>1631.84689157</v>
          </cell>
          <cell r="I304">
            <v>1631.5270549100001</v>
          </cell>
          <cell r="J304">
            <v>1623</v>
          </cell>
          <cell r="K304">
            <v>1636.9770566</v>
          </cell>
          <cell r="L304">
            <v>1615.1881081900001</v>
          </cell>
          <cell r="M304">
            <v>1632</v>
          </cell>
          <cell r="N304">
            <v>1644.1431799100001</v>
          </cell>
        </row>
        <row r="305">
          <cell r="A305" t="str">
            <v>TTCDO</v>
          </cell>
          <cell r="B305" t="str">
            <v>TTCDOARS</v>
          </cell>
          <cell r="C305" t="str">
            <v>ON Tier 1 - Tasa Fija USD Ley Extranjera ON Pesos</v>
          </cell>
          <cell r="D305">
            <v>1258.4186378114334</v>
          </cell>
          <cell r="E305">
            <v>1672.7786123599999</v>
          </cell>
          <cell r="F305">
            <v>1656.55402226</v>
          </cell>
          <cell r="G305">
            <v>1660.2758304500001</v>
          </cell>
          <cell r="H305">
            <v>1672.4631887200001</v>
          </cell>
          <cell r="I305">
            <v>1674.8915195899999</v>
          </cell>
          <cell r="J305">
            <v>1671.0297283499999</v>
          </cell>
          <cell r="K305">
            <v>1672.6</v>
          </cell>
          <cell r="L305">
            <v>1665.1080989500001</v>
          </cell>
          <cell r="M305">
            <v>1677.4569559700001</v>
          </cell>
          <cell r="N305">
            <v>1678.83908703</v>
          </cell>
        </row>
        <row r="306">
          <cell r="A306" t="str">
            <v>YMCXO</v>
          </cell>
          <cell r="B306" t="str">
            <v>YMCXOARS</v>
          </cell>
          <cell r="C306" t="str">
            <v>ON Tier 1 - Tasa Fija USD Ley Extranjera ON Pesos</v>
          </cell>
          <cell r="D306">
            <v>1333.2197358527576</v>
          </cell>
          <cell r="E306">
            <v>1683.17166129</v>
          </cell>
          <cell r="F306">
            <v>1690.0840693</v>
          </cell>
          <cell r="G306">
            <v>1664.72221178</v>
          </cell>
          <cell r="H306">
            <v>1669.5417463199999</v>
          </cell>
          <cell r="I306">
            <v>1668.7267848500001</v>
          </cell>
          <cell r="J306">
            <v>1674.0746520600001</v>
          </cell>
          <cell r="K306">
            <v>1672.3956407000001</v>
          </cell>
          <cell r="L306">
            <v>1665.31696182</v>
          </cell>
          <cell r="M306">
            <v>1667.95465175</v>
          </cell>
          <cell r="N306">
            <v>1670.9626485399999</v>
          </cell>
        </row>
        <row r="307">
          <cell r="A307" t="str">
            <v>PNXCO</v>
          </cell>
          <cell r="B307" t="str">
            <v>PNXCOARS</v>
          </cell>
          <cell r="C307" t="str">
            <v>ON Tier 1 - Tasa Fija USD Ley Extranjera ON Pesos</v>
          </cell>
          <cell r="D307">
            <v>1356.6671854792035</v>
          </cell>
          <cell r="E307">
            <v>1746.5783285699999</v>
          </cell>
          <cell r="F307">
            <v>1710.95051463</v>
          </cell>
          <cell r="G307">
            <v>1694.8222578499999</v>
          </cell>
          <cell r="H307">
            <v>1706.1870087</v>
          </cell>
          <cell r="I307">
            <v>1708.3488508400001</v>
          </cell>
          <cell r="J307">
            <v>1714.02826353</v>
          </cell>
          <cell r="K307">
            <v>1715.40211039</v>
          </cell>
          <cell r="L307">
            <v>1714.6403582</v>
          </cell>
          <cell r="M307">
            <v>1722.2535623900001</v>
          </cell>
          <cell r="N307">
            <v>1723.1841516500001</v>
          </cell>
        </row>
        <row r="308">
          <cell r="A308" t="str">
            <v>PLC5O</v>
          </cell>
          <cell r="B308" t="str">
            <v>PLC5OARS</v>
          </cell>
          <cell r="C308" t="str">
            <v>ON Tier 1 - Tasa Fija USD Ley Extranjera ON Pesos</v>
          </cell>
          <cell r="D308">
            <v>1389.9684072599282</v>
          </cell>
          <cell r="E308">
            <v>1691.61619238</v>
          </cell>
          <cell r="F308">
            <v>1678.3130912500001</v>
          </cell>
          <cell r="G308">
            <v>1663.03638394</v>
          </cell>
          <cell r="H308">
            <v>1674.24101999</v>
          </cell>
          <cell r="I308">
            <v>1676.81133901</v>
          </cell>
          <cell r="J308">
            <v>1682.4163215599999</v>
          </cell>
          <cell r="K308">
            <v>1671.2882286399999</v>
          </cell>
          <cell r="L308">
            <v>1676.0605709199999</v>
          </cell>
          <cell r="M308">
            <v>1690.55055941</v>
          </cell>
          <cell r="N308">
            <v>1691.4888791000001</v>
          </cell>
        </row>
        <row r="309">
          <cell r="A309" t="str">
            <v>TSC3O</v>
          </cell>
          <cell r="B309" t="str">
            <v>TSC3OARS</v>
          </cell>
          <cell r="C309" t="str">
            <v>ON Tier 1 - Tasa Fija USD Ley Extranjera ON Pesos</v>
          </cell>
          <cell r="D309">
            <v>1447.2816611623089</v>
          </cell>
          <cell r="E309">
            <v>1676.8542679300001</v>
          </cell>
          <cell r="F309">
            <v>1710.5</v>
          </cell>
          <cell r="G309">
            <v>1662.79834899</v>
          </cell>
          <cell r="H309">
            <v>1673.98824446</v>
          </cell>
          <cell r="I309">
            <v>1676.5603471100001</v>
          </cell>
          <cell r="J309">
            <v>1701.27123734</v>
          </cell>
          <cell r="K309">
            <v>1683.7413801099999</v>
          </cell>
          <cell r="L309">
            <v>1682.96466562</v>
          </cell>
          <cell r="M309">
            <v>1690.43008824</v>
          </cell>
          <cell r="N309">
            <v>1691.43646644</v>
          </cell>
        </row>
        <row r="310">
          <cell r="A310" t="str">
            <v>YFCJO</v>
          </cell>
          <cell r="B310" t="str">
            <v>YFCJOARS</v>
          </cell>
          <cell r="C310" t="str">
            <v>ON Tier 1 - Tasa Fija USD Ley Extranjera ON Pesos</v>
          </cell>
          <cell r="D310">
            <v>1483.7200088925158</v>
          </cell>
          <cell r="E310">
            <v>1667.0436423199999</v>
          </cell>
          <cell r="F310">
            <v>1667.9504707799999</v>
          </cell>
          <cell r="G310">
            <v>1653.26413568</v>
          </cell>
          <cell r="H310">
            <v>1664.08634979</v>
          </cell>
          <cell r="I310">
            <v>1666.3028054500001</v>
          </cell>
          <cell r="J310">
            <v>1671.92859572</v>
          </cell>
          <cell r="K310">
            <v>1673.61107253</v>
          </cell>
          <cell r="L310">
            <v>1672.7289968699999</v>
          </cell>
          <cell r="M310">
            <v>1680.1371829699999</v>
          </cell>
          <cell r="N310">
            <v>1617.56210599</v>
          </cell>
        </row>
        <row r="311">
          <cell r="A311" t="str">
            <v>MGCMO</v>
          </cell>
          <cell r="B311" t="str">
            <v>MGC3OARS</v>
          </cell>
          <cell r="C311" t="str">
            <v>ON Tier 1 - Tasa Fija USD Ley Extranjera ON Pesos</v>
          </cell>
          <cell r="D311">
            <v>1507.5800138836103</v>
          </cell>
          <cell r="E311">
            <v>1621.80788336</v>
          </cell>
          <cell r="F311">
            <v>1622.6946888800001</v>
          </cell>
          <cell r="G311">
            <v>1608.6293767100001</v>
          </cell>
          <cell r="H311">
            <v>1619.4328479200001</v>
          </cell>
          <cell r="I311">
            <v>1622.0232338000001</v>
          </cell>
          <cell r="J311">
            <v>1627.5385639199999</v>
          </cell>
          <cell r="K311">
            <v>1663.8500835899999</v>
          </cell>
          <cell r="L311">
            <v>1676.3967856500001</v>
          </cell>
          <cell r="M311">
            <v>1635.5775711399999</v>
          </cell>
          <cell r="N311">
            <v>1636.61951374</v>
          </cell>
        </row>
        <row r="312">
          <cell r="A312" t="str">
            <v>TTCAO</v>
          </cell>
          <cell r="B312" t="str">
            <v>TTCAOARS</v>
          </cell>
          <cell r="C312" t="str">
            <v>ON Tier 1 - Tasa Fija USD Ley Extranjera ON Pesos</v>
          </cell>
          <cell r="D312">
            <v>1587.7928856821613</v>
          </cell>
          <cell r="E312">
            <v>1612.3957908</v>
          </cell>
          <cell r="F312">
            <v>1635.4312833399999</v>
          </cell>
          <cell r="G312">
            <v>1599.5795389699999</v>
          </cell>
          <cell r="H312">
            <v>1610.02812032</v>
          </cell>
          <cell r="I312">
            <v>1612.1615830799999</v>
          </cell>
          <cell r="J312">
            <v>1617.68816984</v>
          </cell>
          <cell r="K312">
            <v>1619.5393859200001</v>
          </cell>
          <cell r="L312">
            <v>1618.6239282199999</v>
          </cell>
          <cell r="M312">
            <v>1625.77815493</v>
          </cell>
          <cell r="N312">
            <v>1626.9427610099999</v>
          </cell>
        </row>
        <row r="313">
          <cell r="A313" t="str">
            <v>PLC4O</v>
          </cell>
          <cell r="B313" t="str">
            <v>PLC4OARS</v>
          </cell>
          <cell r="C313" t="str">
            <v>ON Tier 1 - Tasa Fija USD Ley Extranjera ON Pesos</v>
          </cell>
          <cell r="D313">
            <v>1631.0114319055976</v>
          </cell>
          <cell r="E313">
            <v>1681.38336297</v>
          </cell>
          <cell r="F313">
            <v>1692.33390175</v>
          </cell>
          <cell r="G313">
            <v>1674.6603280700001</v>
          </cell>
          <cell r="H313">
            <v>1679.9928764599999</v>
          </cell>
          <cell r="I313">
            <v>1679.41739325</v>
          </cell>
          <cell r="J313">
            <v>1688.8177127399999</v>
          </cell>
          <cell r="K313">
            <v>1682.3912763200001</v>
          </cell>
          <cell r="L313">
            <v>1700.2275896900001</v>
          </cell>
          <cell r="M313">
            <v>1693.01597339</v>
          </cell>
          <cell r="N313">
            <v>1697.84403505</v>
          </cell>
        </row>
        <row r="314">
          <cell r="A314" t="str">
            <v>VSCVO</v>
          </cell>
          <cell r="B314" t="str">
            <v>VSCVOARS</v>
          </cell>
          <cell r="C314" t="str">
            <v>ON Tier 1 - Tasa Fija USD Ley Extranjera ON Pesos</v>
          </cell>
          <cell r="D314">
            <v>1637.6539503219622</v>
          </cell>
          <cell r="E314">
            <v>1705.3479591099999</v>
          </cell>
          <cell r="F314">
            <v>1706.5097265500001</v>
          </cell>
          <cell r="G314">
            <v>1703.2782538900001</v>
          </cell>
          <cell r="H314">
            <v>1704.54208958</v>
          </cell>
          <cell r="I314">
            <v>1701.80809832</v>
          </cell>
          <cell r="J314">
            <v>1705.4891813900001</v>
          </cell>
          <cell r="K314">
            <v>1705.86211366</v>
          </cell>
          <cell r="L314">
            <v>1709.3668225199999</v>
          </cell>
          <cell r="M314">
            <v>1706.22275498</v>
          </cell>
          <cell r="N314">
            <v>1714.64636933</v>
          </cell>
        </row>
        <row r="315">
          <cell r="A315" t="str">
            <v>YM34O</v>
          </cell>
          <cell r="B315" t="str">
            <v>YM34OARS</v>
          </cell>
          <cell r="C315" t="str">
            <v>ON Tier 1 - Tasa Fija USD Ley Extranjera ON Pesos</v>
          </cell>
          <cell r="D315">
            <v>1815.397075144461</v>
          </cell>
          <cell r="E315">
            <v>1648.7556800499999</v>
          </cell>
          <cell r="F315">
            <v>1644.36176432</v>
          </cell>
          <cell r="G315">
            <v>1640.93463217</v>
          </cell>
          <cell r="H315">
            <v>1639.73041812</v>
          </cell>
          <cell r="I315">
            <v>1642.5246542499999</v>
          </cell>
          <cell r="J315">
            <v>1657.9059748699999</v>
          </cell>
          <cell r="K315">
            <v>1669.3648626700001</v>
          </cell>
          <cell r="L315">
            <v>1656.42586622</v>
          </cell>
          <cell r="M315">
            <v>1660.02525657</v>
          </cell>
          <cell r="N315">
            <v>1664.5701995500001</v>
          </cell>
        </row>
        <row r="316">
          <cell r="A316" t="str">
            <v>YMCJO</v>
          </cell>
          <cell r="B316" t="str">
            <v>YMCJOARS</v>
          </cell>
          <cell r="C316" t="str">
            <v>YMCJO - Z-Spread NY Pesos</v>
          </cell>
          <cell r="D316">
            <v>1913.5697224271303</v>
          </cell>
          <cell r="E316">
            <v>1556.8332453800001</v>
          </cell>
          <cell r="F316">
            <v>1579.27075302</v>
          </cell>
          <cell r="G316">
            <v>1563.21611459</v>
          </cell>
          <cell r="H316">
            <v>1559.2503578200001</v>
          </cell>
          <cell r="I316">
            <v>1552.57475884</v>
          </cell>
          <cell r="J316">
            <v>1559.4917927700001</v>
          </cell>
          <cell r="K316">
            <v>1559.26204263</v>
          </cell>
          <cell r="L316">
            <v>1560.33051387</v>
          </cell>
          <cell r="M316">
            <v>1559.90754943</v>
          </cell>
          <cell r="N316">
            <v>1566.6988351099999</v>
          </cell>
        </row>
        <row r="317">
          <cell r="A317" t="str">
            <v>CAC5O</v>
          </cell>
          <cell r="B317" t="str">
            <v>CAC5OARS</v>
          </cell>
          <cell r="C317" t="str">
            <v>ON Tier 2 - Tasa Fija USD Ley Extranjera ON Pesos</v>
          </cell>
          <cell r="D317">
            <v>387.94425848400903</v>
          </cell>
          <cell r="E317">
            <v>834.20414038000001</v>
          </cell>
          <cell r="F317">
            <v>834.58720391999998</v>
          </cell>
          <cell r="G317">
            <v>821.79614153</v>
          </cell>
          <cell r="H317">
            <v>826.29536465000001</v>
          </cell>
          <cell r="I317">
            <v>824.18465644000003</v>
          </cell>
          <cell r="J317">
            <v>826.20586060999995</v>
          </cell>
          <cell r="K317">
            <v>825.87248862000001</v>
          </cell>
          <cell r="L317">
            <v>825.61724356000002</v>
          </cell>
          <cell r="M317">
            <v>829.51440943</v>
          </cell>
          <cell r="N317">
            <v>829.52357602999996</v>
          </cell>
        </row>
        <row r="318">
          <cell r="A318" t="str">
            <v>TLCMO</v>
          </cell>
          <cell r="B318" t="str">
            <v>TLCMOARS</v>
          </cell>
          <cell r="C318" t="str">
            <v>ON Tier 2 - Tasa Fija USD Ley Extranjera ON Pesos</v>
          </cell>
          <cell r="D318">
            <v>1161.1294855012118</v>
          </cell>
          <cell r="E318">
            <v>1704.13248054</v>
          </cell>
          <cell r="F318">
            <v>1694.9585097199999</v>
          </cell>
          <cell r="G318">
            <v>1695.9896354</v>
          </cell>
          <cell r="H318">
            <v>1694.98233228</v>
          </cell>
          <cell r="I318">
            <v>1695.3000952299999</v>
          </cell>
          <cell r="J318">
            <v>1707.94270443</v>
          </cell>
          <cell r="K318">
            <v>1709.5013069500001</v>
          </cell>
          <cell r="L318">
            <v>1723.0319344699999</v>
          </cell>
          <cell r="M318">
            <v>1709.9214901</v>
          </cell>
          <cell r="N318">
            <v>1729.5727799199999</v>
          </cell>
        </row>
        <row r="319">
          <cell r="A319" t="str">
            <v>TLCPO</v>
          </cell>
          <cell r="B319" t="str">
            <v>TLCPOARS</v>
          </cell>
          <cell r="C319" t="str">
            <v>ON Tier 2 - Tasa Fija USD Ley Extranjera ON Pesos</v>
          </cell>
          <cell r="D319">
            <v>1695.310758225246</v>
          </cell>
          <cell r="E319">
            <v>1733.5736800699999</v>
          </cell>
          <cell r="F319">
            <v>1721.1808468500001</v>
          </cell>
          <cell r="G319">
            <v>1696.02337162</v>
          </cell>
          <cell r="H319">
            <v>1704.1092585199999</v>
          </cell>
          <cell r="I319">
            <v>1705.5584832500001</v>
          </cell>
          <cell r="J319">
            <v>1702.15415308</v>
          </cell>
          <cell r="K319">
            <v>1701.58571749</v>
          </cell>
          <cell r="L319">
            <v>1704.0721578099999</v>
          </cell>
          <cell r="M319">
            <v>1712.87403993</v>
          </cell>
          <cell r="N319">
            <v>1719.81274031</v>
          </cell>
        </row>
        <row r="320">
          <cell r="A320" t="str">
            <v>AEC2O</v>
          </cell>
          <cell r="B320" t="str">
            <v>AEC2OARS</v>
          </cell>
          <cell r="C320" t="str">
            <v>ON Tier 3 - Tasa Fija USD Ley Extranjera ON Pesos</v>
          </cell>
          <cell r="D320">
            <v>223.77393300416074</v>
          </cell>
          <cell r="E320">
            <v>819.35940262999998</v>
          </cell>
          <cell r="F320">
            <v>820.0855067</v>
          </cell>
          <cell r="G320">
            <v>807.81770326000003</v>
          </cell>
          <cell r="H320">
            <v>812.23460522000005</v>
          </cell>
          <cell r="I320">
            <v>810.17012512999997</v>
          </cell>
          <cell r="J320">
            <v>812.31068183000002</v>
          </cell>
          <cell r="K320">
            <v>812.24000882999997</v>
          </cell>
          <cell r="L320">
            <v>811.72890115999996</v>
          </cell>
          <cell r="M320">
            <v>815.35395503999996</v>
          </cell>
          <cell r="N320">
            <v>815.25067676000003</v>
          </cell>
        </row>
        <row r="321">
          <cell r="A321"/>
          <cell r="B321"/>
          <cell r="C321"/>
          <cell r="D321"/>
        </row>
        <row r="322">
          <cell r="A322" t="str">
            <v>Obligaciones Negociables Dólar linked</v>
          </cell>
          <cell r="B322" t="str">
            <v>Obligaciones Negociables Dólar linkedARS</v>
          </cell>
          <cell r="C322"/>
          <cell r="D322"/>
        </row>
        <row r="323">
          <cell r="A323"/>
          <cell r="B323"/>
          <cell r="C323"/>
          <cell r="D323"/>
        </row>
        <row r="324">
          <cell r="A324" t="str">
            <v>GE22P</v>
          </cell>
          <cell r="B324" t="str">
            <v>GE22PARS</v>
          </cell>
          <cell r="C324" t="str">
            <v>ON PyME Gar - Tasa Fija USD Link ON</v>
          </cell>
          <cell r="D324">
            <v>129.1052534287187</v>
          </cell>
          <cell r="E324">
            <v>515.53140459999997</v>
          </cell>
          <cell r="F324">
            <v>515.71114867999995</v>
          </cell>
          <cell r="G324">
            <v>516.67333697000004</v>
          </cell>
          <cell r="H324">
            <v>517.00749540000004</v>
          </cell>
          <cell r="I324">
            <v>517.27073786999995</v>
          </cell>
          <cell r="J324">
            <v>516.99649685999998</v>
          </cell>
          <cell r="K324">
            <v>516.81929855999999</v>
          </cell>
          <cell r="L324">
            <v>516.94365468000001</v>
          </cell>
          <cell r="M324">
            <v>516.58008455000004</v>
          </cell>
          <cell r="N324">
            <v>520.63846892000004</v>
          </cell>
        </row>
        <row r="325">
          <cell r="A325" t="str">
            <v>HA12L</v>
          </cell>
          <cell r="B325" t="str">
            <v>HA12LARS</v>
          </cell>
          <cell r="C325" t="str">
            <v>ON PyME Gar - Tasa Fija USD Link ON</v>
          </cell>
          <cell r="D325">
            <v>265.48537882097628</v>
          </cell>
          <cell r="E325">
            <v>1562.1811405000001</v>
          </cell>
          <cell r="F325">
            <v>1564.0407768</v>
          </cell>
          <cell r="G325">
            <v>1572.6153697499999</v>
          </cell>
          <cell r="H325">
            <v>1576.5549172999999</v>
          </cell>
          <cell r="I325">
            <v>1579.07860882</v>
          </cell>
          <cell r="J325">
            <v>1578.0293981299999</v>
          </cell>
          <cell r="K325">
            <v>1579.6454243600001</v>
          </cell>
          <cell r="L325">
            <v>1579.8947735500001</v>
          </cell>
          <cell r="M325">
            <v>1580.7632803700001</v>
          </cell>
          <cell r="N325">
            <v>1565.6435914599999</v>
          </cell>
        </row>
        <row r="326">
          <cell r="A326" t="str">
            <v>APS1L</v>
          </cell>
          <cell r="B326" t="str">
            <v>APS1LARS</v>
          </cell>
          <cell r="C326" t="str">
            <v>ON PyME Gar - Tasa Fija USD Link ON</v>
          </cell>
          <cell r="D326">
            <v>388.49795298609075</v>
          </cell>
          <cell r="E326">
            <v>1522.1838016199999</v>
          </cell>
          <cell r="F326">
            <v>1522.45744898</v>
          </cell>
          <cell r="G326">
            <v>1519.25294749</v>
          </cell>
          <cell r="H326">
            <v>1519.7018694200001</v>
          </cell>
          <cell r="I326">
            <v>1520.8535314200001</v>
          </cell>
          <cell r="J326">
            <v>1518.9818857299999</v>
          </cell>
          <cell r="K326">
            <v>1521.0214462599999</v>
          </cell>
          <cell r="L326">
            <v>1521.6195374900001</v>
          </cell>
          <cell r="M326">
            <v>1520.60780383</v>
          </cell>
          <cell r="N326">
            <v>1534.71398712</v>
          </cell>
        </row>
        <row r="327">
          <cell r="A327" t="str">
            <v>GN37O</v>
          </cell>
          <cell r="B327" t="str">
            <v>GN37OARS</v>
          </cell>
          <cell r="C327" t="str">
            <v>ON Tier 1 - Tasa Fija USD Link ON</v>
          </cell>
          <cell r="D327">
            <v>27.00000000000145</v>
          </cell>
          <cell r="E327">
            <v>505.26982366999999</v>
          </cell>
          <cell r="F327">
            <v>505.41800454999998</v>
          </cell>
          <cell r="G327">
            <v>505.01134685</v>
          </cell>
          <cell r="H327">
            <v>505.40504609999999</v>
          </cell>
          <cell r="I327">
            <v>505.41810062000002</v>
          </cell>
          <cell r="J327">
            <v>504.84100102000002</v>
          </cell>
          <cell r="K327">
            <v>504.15515017000001</v>
          </cell>
          <cell r="L327">
            <v>504.20587346999997</v>
          </cell>
          <cell r="M327">
            <v>503.82137089999998</v>
          </cell>
          <cell r="N327">
            <v>504.76104951999997</v>
          </cell>
        </row>
        <row r="328">
          <cell r="A328" t="str">
            <v>VSCIO</v>
          </cell>
          <cell r="B328" t="str">
            <v>VSCIOARS</v>
          </cell>
          <cell r="C328" t="str">
            <v>ON Tier 1 - Tasa Fija USD Link ON</v>
          </cell>
          <cell r="D328">
            <v>55.000000000000249</v>
          </cell>
          <cell r="E328">
            <v>1510.3331143800001</v>
          </cell>
          <cell r="F328">
            <v>1510.7705454500001</v>
          </cell>
          <cell r="G328">
            <v>1510.90298936</v>
          </cell>
          <cell r="H328">
            <v>1512.0905796500001</v>
          </cell>
          <cell r="I328">
            <v>1511.75241422</v>
          </cell>
          <cell r="J328">
            <v>1510.26308896</v>
          </cell>
          <cell r="K328">
            <v>1508.2235452899999</v>
          </cell>
          <cell r="L328">
            <v>1508.42451065</v>
          </cell>
          <cell r="M328">
            <v>1507.28657985</v>
          </cell>
          <cell r="N328">
            <v>1513.17288596</v>
          </cell>
        </row>
        <row r="329">
          <cell r="A329" t="str">
            <v>PNJCO</v>
          </cell>
          <cell r="B329" t="str">
            <v>PNJCOARS</v>
          </cell>
          <cell r="C329" t="str">
            <v>ON Tier 1 - Tasa Fija USD Link ON</v>
          </cell>
          <cell r="D329">
            <v>115.71431922838805</v>
          </cell>
          <cell r="E329">
            <v>1509.1313034</v>
          </cell>
          <cell r="F329">
            <v>1509.5593315799999</v>
          </cell>
          <cell r="G329">
            <v>1511.2775968399999</v>
          </cell>
          <cell r="H329">
            <v>1512.48421164</v>
          </cell>
          <cell r="I329">
            <v>1511.38680183</v>
          </cell>
          <cell r="J329">
            <v>1510.12739347</v>
          </cell>
          <cell r="K329">
            <v>1508.1115275499999</v>
          </cell>
          <cell r="L329">
            <v>1508.40711874</v>
          </cell>
          <cell r="M329">
            <v>1507.2930065999999</v>
          </cell>
          <cell r="N329">
            <v>1518.2443563700001</v>
          </cell>
        </row>
        <row r="330">
          <cell r="A330" t="str">
            <v>VSCJO</v>
          </cell>
          <cell r="B330" t="str">
            <v>VSCJOARS</v>
          </cell>
          <cell r="C330" t="str">
            <v>ON Tier 1 - Tasa Fija USD Link ON</v>
          </cell>
          <cell r="D330">
            <v>139.00000000000031</v>
          </cell>
          <cell r="E330">
            <v>1495.6699864</v>
          </cell>
          <cell r="F330">
            <v>1496.09166086</v>
          </cell>
          <cell r="G330">
            <v>1497.9929937500001</v>
          </cell>
          <cell r="H330">
            <v>1494.3393000000001</v>
          </cell>
          <cell r="I330">
            <v>1493.63</v>
          </cell>
          <cell r="J330">
            <v>1493.6</v>
          </cell>
          <cell r="K330">
            <v>1501.7535292800001</v>
          </cell>
          <cell r="L330">
            <v>1494.9226670800001</v>
          </cell>
          <cell r="M330">
            <v>1493.8265848599999</v>
          </cell>
          <cell r="N330">
            <v>1507.50283233</v>
          </cell>
        </row>
        <row r="331">
          <cell r="A331" t="str">
            <v>TLCDO</v>
          </cell>
          <cell r="B331" t="str">
            <v>TLCDOARS</v>
          </cell>
          <cell r="C331" t="str">
            <v>ON Tier 1 - Tasa Fija USD Link ON</v>
          </cell>
          <cell r="D331">
            <v>144.77594043922488</v>
          </cell>
          <cell r="E331">
            <v>1504.32</v>
          </cell>
          <cell r="F331">
            <v>1502.5346961299999</v>
          </cell>
          <cell r="G331">
            <v>1504.4567188599999</v>
          </cell>
          <cell r="H331">
            <v>1505.66579568</v>
          </cell>
          <cell r="I331">
            <v>1504.2296982600001</v>
          </cell>
          <cell r="J331">
            <v>1502.97232364</v>
          </cell>
          <cell r="K331">
            <v>1500.97589565</v>
          </cell>
          <cell r="L331">
            <v>1501.3099210299999</v>
          </cell>
          <cell r="M331">
            <v>1500.2110716</v>
          </cell>
          <cell r="N331">
            <v>1512.7</v>
          </cell>
        </row>
        <row r="332">
          <cell r="A332" t="str">
            <v>PNZCO</v>
          </cell>
          <cell r="B332" t="str">
            <v>PNZCOARS</v>
          </cell>
          <cell r="C332" t="str">
            <v>ON Tier 1 - Tasa Fija USD Link ON</v>
          </cell>
          <cell r="D332">
            <v>263.00000000000023</v>
          </cell>
          <cell r="E332">
            <v>1475.4143746100001</v>
          </cell>
          <cell r="F332">
            <v>1475.82403647</v>
          </cell>
          <cell r="G332">
            <v>1481.0355999999999</v>
          </cell>
          <cell r="H332">
            <v>1477.09522861</v>
          </cell>
          <cell r="I332">
            <v>1483.6131331700001</v>
          </cell>
          <cell r="J332">
            <v>1472.5594560500001</v>
          </cell>
          <cell r="K332">
            <v>1470.6354842999999</v>
          </cell>
          <cell r="L332">
            <v>1471.0919609</v>
          </cell>
          <cell r="M332">
            <v>1470.04774236</v>
          </cell>
          <cell r="N332">
            <v>1485.89258187</v>
          </cell>
        </row>
        <row r="333">
          <cell r="A333" t="str">
            <v>OLC3O</v>
          </cell>
          <cell r="B333" t="str">
            <v>OLC3OARS</v>
          </cell>
          <cell r="C333" t="str">
            <v>ON Tier 1 - Tasa Fija USD Link ON</v>
          </cell>
          <cell r="D333">
            <v>269.99999999999989</v>
          </cell>
          <cell r="E333">
            <v>1474.2949877799999</v>
          </cell>
          <cell r="F333">
            <v>1469.6733999999999</v>
          </cell>
          <cell r="G333">
            <v>1474.5507566399999</v>
          </cell>
          <cell r="H333">
            <v>1475.76286656</v>
          </cell>
          <cell r="I333">
            <v>1472.92762687</v>
          </cell>
          <cell r="J333">
            <v>1471.09763026</v>
          </cell>
          <cell r="K333">
            <v>1469.17713712</v>
          </cell>
          <cell r="L333">
            <v>1469.6394851800001</v>
          </cell>
          <cell r="M333">
            <v>1468.59788948</v>
          </cell>
          <cell r="N333">
            <v>1483.24</v>
          </cell>
        </row>
        <row r="334">
          <cell r="A334" t="str">
            <v>MGCEO</v>
          </cell>
          <cell r="B334" t="str">
            <v>MGCEOARS</v>
          </cell>
          <cell r="C334" t="str">
            <v>ON Tier 1 - Tasa Fija USD Link ON</v>
          </cell>
          <cell r="D334">
            <v>431.00000000000392</v>
          </cell>
          <cell r="E334">
            <v>1448.5286968600001</v>
          </cell>
          <cell r="F334">
            <v>1448.93581672</v>
          </cell>
          <cell r="G334">
            <v>1442.1830076799999</v>
          </cell>
          <cell r="H334">
            <v>1443.3909311</v>
          </cell>
          <cell r="I334">
            <v>1438.59978813</v>
          </cell>
          <cell r="J334">
            <v>1435.3590467199999</v>
          </cell>
          <cell r="K334">
            <v>1433.51256302</v>
          </cell>
          <cell r="L334">
            <v>1434.07401615</v>
          </cell>
          <cell r="M334">
            <v>1433.0854109899999</v>
          </cell>
          <cell r="N334">
            <v>1447.04122654</v>
          </cell>
        </row>
        <row r="335">
          <cell r="A335" t="str">
            <v>OLC2O</v>
          </cell>
          <cell r="B335" t="str">
            <v>OLC2OARS</v>
          </cell>
          <cell r="C335" t="str">
            <v>ON Tier 1 - Tasa Fija USD Link ON</v>
          </cell>
          <cell r="D335">
            <v>598.04514067670686</v>
          </cell>
          <cell r="E335">
            <v>1445.4515927699999</v>
          </cell>
          <cell r="F335">
            <v>1445.87195316</v>
          </cell>
          <cell r="G335">
            <v>1430.9583675599999</v>
          </cell>
          <cell r="H335">
            <v>1432.1700892900001</v>
          </cell>
          <cell r="I335">
            <v>1424.7494612999999</v>
          </cell>
          <cell r="J335">
            <v>1420.0012680299999</v>
          </cell>
          <cell r="K335">
            <v>1418.1901341099999</v>
          </cell>
          <cell r="L335">
            <v>1418.80857186</v>
          </cell>
          <cell r="M335">
            <v>1417.8463737</v>
          </cell>
          <cell r="N335">
            <v>1429.25</v>
          </cell>
        </row>
        <row r="336">
          <cell r="A336" t="str">
            <v>MR43O</v>
          </cell>
          <cell r="B336" t="str">
            <v>MR43OARS</v>
          </cell>
          <cell r="C336" t="e">
            <v>#N/A</v>
          </cell>
          <cell r="D336" t="e">
            <v>#N/A</v>
          </cell>
          <cell r="E336">
            <v>456.96762000000001</v>
          </cell>
          <cell r="F336">
            <v>456.92604</v>
          </cell>
          <cell r="G336">
            <v>455.77443</v>
          </cell>
          <cell r="H336">
            <v>456.09005999999999</v>
          </cell>
          <cell r="I336">
            <v>456.21408000000002</v>
          </cell>
          <cell r="J336">
            <v>455.53089</v>
          </cell>
          <cell r="K336">
            <v>454.76298000000003</v>
          </cell>
          <cell r="L336">
            <v>454.75628999999998</v>
          </cell>
          <cell r="M336">
            <v>454.36964999999998</v>
          </cell>
          <cell r="N336">
            <v>454.17923999999999</v>
          </cell>
        </row>
        <row r="337">
          <cell r="A337" t="str">
            <v>DRSAO</v>
          </cell>
          <cell r="B337" t="str">
            <v>DRSAOARS</v>
          </cell>
          <cell r="C337" t="e">
            <v>#N/A</v>
          </cell>
          <cell r="D337" t="e">
            <v>#N/A</v>
          </cell>
          <cell r="E337">
            <v>9.9999999999999995E-8</v>
          </cell>
          <cell r="F337">
            <v>9.9999999999999995E-8</v>
          </cell>
          <cell r="G337">
            <v>9.9999999999999995E-8</v>
          </cell>
          <cell r="H337">
            <v>9.9999999999999995E-8</v>
          </cell>
          <cell r="I337">
            <v>9.9999999999999995E-8</v>
          </cell>
          <cell r="J337">
            <v>9.9999999999999995E-8</v>
          </cell>
          <cell r="K337">
            <v>9.9999999999999995E-8</v>
          </cell>
          <cell r="L337">
            <v>9.9999999999999995E-8</v>
          </cell>
          <cell r="M337">
            <v>9.9999999999999995E-8</v>
          </cell>
          <cell r="N337">
            <v>9.9999999999999995E-8</v>
          </cell>
        </row>
        <row r="338">
          <cell r="A338"/>
          <cell r="B338"/>
          <cell r="C338"/>
          <cell r="D338"/>
        </row>
        <row r="339">
          <cell r="A339" t="str">
            <v>Fideicomisos Financieros Tamar</v>
          </cell>
          <cell r="B339"/>
          <cell r="C339"/>
          <cell r="D339"/>
        </row>
        <row r="340">
          <cell r="A340"/>
          <cell r="B340"/>
          <cell r="C340"/>
          <cell r="D340"/>
        </row>
        <row r="341">
          <cell r="A341" t="str">
            <v>CO18A</v>
          </cell>
          <cell r="B341" t="str">
            <v>CO18AARS</v>
          </cell>
          <cell r="C341" t="str">
            <v>FF PyME - TAMAR FF</v>
          </cell>
          <cell r="D341">
            <v>4.9999999999940501</v>
          </cell>
          <cell r="E341">
            <v>0.24858078</v>
          </cell>
          <cell r="F341">
            <v>0.24914475999999999</v>
          </cell>
          <cell r="G341">
            <v>0.24934798999999999</v>
          </cell>
          <cell r="H341">
            <v>0.2495242</v>
          </cell>
          <cell r="I341">
            <v>0.24972501999999999</v>
          </cell>
          <cell r="J341">
            <v>0.24996604</v>
          </cell>
          <cell r="K341">
            <v>0.25068829999999998</v>
          </cell>
          <cell r="L341">
            <v>0.25090884000000002</v>
          </cell>
          <cell r="M341">
            <v>0.25110321000000002</v>
          </cell>
          <cell r="N341">
            <v>0.25131713999999999</v>
          </cell>
        </row>
        <row r="342">
          <cell r="A342" t="str">
            <v>CO17A</v>
          </cell>
          <cell r="B342" t="str">
            <v>CO17AARS</v>
          </cell>
          <cell r="C342" t="str">
            <v>FF PyME - TAMAR FF</v>
          </cell>
          <cell r="D342">
            <v>5.00000000000135</v>
          </cell>
          <cell r="E342">
            <v>0.25550337000000001</v>
          </cell>
          <cell r="F342">
            <v>0.25608304999999998</v>
          </cell>
          <cell r="G342">
            <v>0.25629194</v>
          </cell>
          <cell r="H342">
            <v>0.25647305999999997</v>
          </cell>
          <cell r="I342">
            <v>0.25667947000000002</v>
          </cell>
          <cell r="J342">
            <v>0.25692721000000002</v>
          </cell>
          <cell r="K342">
            <v>0.25766958000000001</v>
          </cell>
          <cell r="L342">
            <v>0.25789625999999999</v>
          </cell>
          <cell r="M342">
            <v>0.25809604000000003</v>
          </cell>
          <cell r="N342">
            <v>0.25831591999999998</v>
          </cell>
        </row>
        <row r="343">
          <cell r="A343" t="str">
            <v>CO19A</v>
          </cell>
          <cell r="B343" t="str">
            <v>CO19AARS</v>
          </cell>
          <cell r="C343" t="str">
            <v>FF Tier 1 - TAMAR FF</v>
          </cell>
          <cell r="D343">
            <v>164.83004045025615</v>
          </cell>
          <cell r="E343">
            <v>0.87776131000000002</v>
          </cell>
          <cell r="F343">
            <v>0.87933216000000003</v>
          </cell>
          <cell r="G343">
            <v>0.88086299000000001</v>
          </cell>
          <cell r="H343">
            <v>0.88148320999999996</v>
          </cell>
          <cell r="I343">
            <v>0.88157518000000001</v>
          </cell>
          <cell r="J343">
            <v>0.88198122999999995</v>
          </cell>
          <cell r="K343">
            <v>0.88415927999999999</v>
          </cell>
          <cell r="L343">
            <v>0.88711264999999995</v>
          </cell>
          <cell r="M343">
            <v>0.88801664999999996</v>
          </cell>
          <cell r="N343">
            <v>0.88615838999999996</v>
          </cell>
        </row>
        <row r="344">
          <cell r="A344" t="str">
            <v>CO20A</v>
          </cell>
          <cell r="B344" t="str">
            <v>CO20AARS</v>
          </cell>
          <cell r="C344" t="str">
            <v>FF Tier 1 - TAMAR FF</v>
          </cell>
          <cell r="D344">
            <v>202.45741100688596</v>
          </cell>
          <cell r="E344">
            <v>0.99710160000000003</v>
          </cell>
          <cell r="F344">
            <v>0.99878445000000005</v>
          </cell>
          <cell r="G344">
            <v>1.0008513699999999</v>
          </cell>
          <cell r="H344">
            <v>1.00169946</v>
          </cell>
          <cell r="I344">
            <v>1.00147795</v>
          </cell>
          <cell r="J344">
            <v>1.0014357</v>
          </cell>
          <cell r="K344">
            <v>1.00405224</v>
          </cell>
          <cell r="L344">
            <v>1.0079268400000001</v>
          </cell>
          <cell r="M344">
            <v>1.00896915</v>
          </cell>
          <cell r="N344">
            <v>1.0052874599999999</v>
          </cell>
        </row>
        <row r="345">
          <cell r="A345" t="str">
            <v>M320A</v>
          </cell>
          <cell r="B345" t="str">
            <v>M320AARS</v>
          </cell>
          <cell r="C345" t="str">
            <v>FF Tier 1 - TAMAR FF</v>
          </cell>
          <cell r="D345">
            <v>12.00000000013245</v>
          </cell>
          <cell r="E345">
            <v>2.385557E-2</v>
          </cell>
          <cell r="F345">
            <v>2.3908829999999999E-2</v>
          </cell>
          <cell r="G345">
            <v>2.392886E-2</v>
          </cell>
          <cell r="H345">
            <v>2.3944989999999999E-2</v>
          </cell>
          <cell r="I345">
            <v>2.3964579999999999E-2</v>
          </cell>
          <cell r="J345">
            <v>2.3990379999999999E-2</v>
          </cell>
          <cell r="K345">
            <v>2.4057149999999999E-2</v>
          </cell>
          <cell r="L345">
            <v>2.4081439999999999E-2</v>
          </cell>
          <cell r="M345">
            <v>2.4100940000000001E-2</v>
          </cell>
          <cell r="N345">
            <v>2.4125520000000001E-2</v>
          </cell>
        </row>
        <row r="346">
          <cell r="A346" t="str">
            <v>M322A</v>
          </cell>
          <cell r="B346" t="str">
            <v>M322AARS</v>
          </cell>
          <cell r="C346" t="str">
            <v>FF Tier 1 - TAMAR FF</v>
          </cell>
          <cell r="D346">
            <v>12.00000000003025</v>
          </cell>
          <cell r="E346">
            <v>7.8070979999999998E-2</v>
          </cell>
          <cell r="F346">
            <v>7.824528E-2</v>
          </cell>
          <cell r="G346">
            <v>7.8310829999999998E-2</v>
          </cell>
          <cell r="H346">
            <v>7.8363630000000004E-2</v>
          </cell>
          <cell r="I346">
            <v>7.8427730000000001E-2</v>
          </cell>
          <cell r="J346">
            <v>7.8512170000000006E-2</v>
          </cell>
          <cell r="K346">
            <v>7.8730690000000006E-2</v>
          </cell>
          <cell r="L346">
            <v>7.8810179999999994E-2</v>
          </cell>
          <cell r="M346">
            <v>7.8873990000000005E-2</v>
          </cell>
          <cell r="N346">
            <v>7.8954440000000001E-2</v>
          </cell>
        </row>
        <row r="347">
          <cell r="A347" t="str">
            <v>CF82A</v>
          </cell>
          <cell r="B347" t="str">
            <v>CF82AARS</v>
          </cell>
          <cell r="C347" t="str">
            <v>FF Tier 1 - TAMAR FF</v>
          </cell>
          <cell r="D347">
            <v>5.0000000000159499</v>
          </cell>
          <cell r="E347">
            <v>6.6745319999999997E-2</v>
          </cell>
          <cell r="F347">
            <v>6.6895940000000001E-2</v>
          </cell>
          <cell r="G347">
            <v>6.6950519999999999E-2</v>
          </cell>
          <cell r="H347">
            <v>6.6997849999999998E-2</v>
          </cell>
          <cell r="I347">
            <v>6.7051780000000005E-2</v>
          </cell>
          <cell r="J347">
            <v>6.7116510000000004E-2</v>
          </cell>
          <cell r="K347">
            <v>6.7310499999999995E-2</v>
          </cell>
          <cell r="L347">
            <v>6.7369719999999994E-2</v>
          </cell>
          <cell r="M347">
            <v>6.7421930000000005E-2</v>
          </cell>
          <cell r="N347">
            <v>6.7479380000000005E-2</v>
          </cell>
        </row>
        <row r="348">
          <cell r="A348" t="str">
            <v>M327A</v>
          </cell>
          <cell r="B348" t="str">
            <v>M327AARS</v>
          </cell>
          <cell r="C348" t="str">
            <v>FF Tier 1 - TAMAR FF</v>
          </cell>
          <cell r="D348">
            <v>10.999999999865</v>
          </cell>
          <cell r="E348">
            <v>2.6459099999999999E-2</v>
          </cell>
          <cell r="F348">
            <v>2.6518259999999998E-2</v>
          </cell>
          <cell r="G348">
            <v>2.6540399999999999E-2</v>
          </cell>
          <cell r="H348">
            <v>2.6558410000000001E-2</v>
          </cell>
          <cell r="I348">
            <v>2.6580099999999999E-2</v>
          </cell>
          <cell r="J348">
            <v>2.660831E-2</v>
          </cell>
          <cell r="K348">
            <v>2.668276E-2</v>
          </cell>
          <cell r="L348">
            <v>2.6709210000000001E-2</v>
          </cell>
          <cell r="M348">
            <v>2.67307E-2</v>
          </cell>
          <cell r="N348">
            <v>2.6757369999999999E-2</v>
          </cell>
        </row>
        <row r="349">
          <cell r="A349" t="str">
            <v>M329A</v>
          </cell>
          <cell r="B349" t="str">
            <v>M329AARS</v>
          </cell>
          <cell r="C349" t="str">
            <v>FF Tier 1 - TAMAR FF</v>
          </cell>
          <cell r="D349">
            <v>11.000000000010999</v>
          </cell>
          <cell r="E349">
            <v>5.8720210000000002E-2</v>
          </cell>
          <cell r="F349">
            <v>5.8851519999999997E-2</v>
          </cell>
          <cell r="G349">
            <v>5.8900639999999997E-2</v>
          </cell>
          <cell r="H349">
            <v>5.8940619999999999E-2</v>
          </cell>
          <cell r="I349">
            <v>5.898875E-2</v>
          </cell>
          <cell r="J349">
            <v>5.9051359999999997E-2</v>
          </cell>
          <cell r="K349">
            <v>5.921659E-2</v>
          </cell>
          <cell r="L349">
            <v>5.927528E-2</v>
          </cell>
          <cell r="M349">
            <v>5.9322979999999997E-2</v>
          </cell>
          <cell r="N349">
            <v>5.9382160000000003E-2</v>
          </cell>
        </row>
        <row r="350">
          <cell r="A350" t="str">
            <v>M331A</v>
          </cell>
          <cell r="B350" t="str">
            <v>M331AARS</v>
          </cell>
          <cell r="C350" t="str">
            <v>FF Tier 1 - TAMAR FF</v>
          </cell>
          <cell r="D350">
            <v>10.99999999995625</v>
          </cell>
          <cell r="E350">
            <v>9.5912990000000004E-2</v>
          </cell>
          <cell r="F350">
            <v>9.6127459999999998E-2</v>
          </cell>
          <cell r="G350">
            <v>9.6207699999999993E-2</v>
          </cell>
          <cell r="H350">
            <v>9.6273010000000006E-2</v>
          </cell>
          <cell r="I350">
            <v>9.6351610000000004E-2</v>
          </cell>
          <cell r="J350">
            <v>9.6453880000000006E-2</v>
          </cell>
          <cell r="K350">
            <v>9.6723770000000001E-2</v>
          </cell>
          <cell r="L350">
            <v>9.6819630000000004E-2</v>
          </cell>
          <cell r="M350">
            <v>9.6897540000000004E-2</v>
          </cell>
          <cell r="N350">
            <v>9.6994200000000003E-2</v>
          </cell>
        </row>
        <row r="351">
          <cell r="A351" t="str">
            <v>M333A</v>
          </cell>
          <cell r="B351" t="str">
            <v>M333AARS</v>
          </cell>
          <cell r="C351" t="str">
            <v>FF Tier 1 - TAMAR FF</v>
          </cell>
          <cell r="D351">
            <v>11.00000000001465</v>
          </cell>
          <cell r="E351">
            <v>0.18882254000000001</v>
          </cell>
          <cell r="F351">
            <v>0.18924477000000001</v>
          </cell>
          <cell r="G351">
            <v>0.18940272999999999</v>
          </cell>
          <cell r="H351">
            <v>0.18953130000000001</v>
          </cell>
          <cell r="I351">
            <v>0.18968604</v>
          </cell>
          <cell r="J351">
            <v>0.18988737999999999</v>
          </cell>
          <cell r="K351">
            <v>0.1904187</v>
          </cell>
          <cell r="L351">
            <v>0.19060743999999999</v>
          </cell>
          <cell r="M351">
            <v>0.19076082</v>
          </cell>
          <cell r="N351">
            <v>0.19095110000000001</v>
          </cell>
        </row>
        <row r="352">
          <cell r="A352" t="str">
            <v>DT39A</v>
          </cell>
          <cell r="B352" t="str">
            <v>DT39AARS</v>
          </cell>
          <cell r="C352" t="str">
            <v>FF Tier 1 - TAMAR FF</v>
          </cell>
          <cell r="D352">
            <v>0</v>
          </cell>
          <cell r="E352">
            <v>3.928624E-2</v>
          </cell>
          <cell r="F352">
            <v>3.9375540000000001E-2</v>
          </cell>
          <cell r="G352">
            <v>3.9407039999999997E-2</v>
          </cell>
          <cell r="H352">
            <v>3.9435810000000002E-2</v>
          </cell>
          <cell r="I352">
            <v>3.9467080000000002E-2</v>
          </cell>
          <cell r="J352">
            <v>3.950178E-2</v>
          </cell>
          <cell r="K352">
            <v>3.961916E-2</v>
          </cell>
          <cell r="L352">
            <v>3.9650339999999999E-2</v>
          </cell>
          <cell r="M352">
            <v>3.968E-2</v>
          </cell>
          <cell r="N352">
            <v>3.968E-2</v>
          </cell>
        </row>
        <row r="353">
          <cell r="A353" t="str">
            <v>C199A</v>
          </cell>
          <cell r="B353" t="str">
            <v>C199AARS</v>
          </cell>
          <cell r="C353" t="str">
            <v>FF Tier 1 - TAMAR FF</v>
          </cell>
          <cell r="D353">
            <v>11.000000000138751</v>
          </cell>
          <cell r="E353">
            <v>2.514837E-2</v>
          </cell>
          <cell r="F353">
            <v>2.5204609999999999E-2</v>
          </cell>
          <cell r="G353">
            <v>2.5225649999999999E-2</v>
          </cell>
          <cell r="H353">
            <v>2.5242770000000001E-2</v>
          </cell>
          <cell r="I353">
            <v>2.5263379999999998E-2</v>
          </cell>
          <cell r="J353">
            <v>2.5290199999999999E-2</v>
          </cell>
          <cell r="K353">
            <v>2.5360959999999998E-2</v>
          </cell>
          <cell r="L353">
            <v>2.5386100000000002E-2</v>
          </cell>
          <cell r="M353">
            <v>2.5406519999999998E-2</v>
          </cell>
          <cell r="N353">
            <v>2.5431869999999999E-2</v>
          </cell>
        </row>
        <row r="354">
          <cell r="A354" t="str">
            <v>CF83A</v>
          </cell>
          <cell r="B354" t="str">
            <v>CF83AARS</v>
          </cell>
          <cell r="C354" t="str">
            <v>FF Tier 1 - TAMAR FF</v>
          </cell>
          <cell r="D354">
            <v>5.0000000000049996</v>
          </cell>
          <cell r="E354">
            <v>0.24622869999999999</v>
          </cell>
          <cell r="F354">
            <v>0.24678433999999999</v>
          </cell>
          <cell r="G354">
            <v>0.24698569000000001</v>
          </cell>
          <cell r="H354">
            <v>0.24716029</v>
          </cell>
          <cell r="I354">
            <v>0.24735926</v>
          </cell>
          <cell r="J354">
            <v>0.24759806000000001</v>
          </cell>
          <cell r="K354">
            <v>0.24831368000000001</v>
          </cell>
          <cell r="L354">
            <v>0.24853217999999999</v>
          </cell>
          <cell r="M354">
            <v>0.24872477000000001</v>
          </cell>
          <cell r="N354">
            <v>0.24893672</v>
          </cell>
        </row>
        <row r="355">
          <cell r="A355" t="str">
            <v>CF84A</v>
          </cell>
          <cell r="B355" t="str">
            <v>CF84AARS</v>
          </cell>
          <cell r="C355" t="str">
            <v>FF Tier 1 - TAMAR FF</v>
          </cell>
          <cell r="D355">
            <v>4.9999999998589999</v>
          </cell>
          <cell r="E355">
            <v>1.5751149999999998E-2</v>
          </cell>
          <cell r="F355">
            <v>1.5787010000000001E-2</v>
          </cell>
          <cell r="G355">
            <v>1.5800359999999999E-2</v>
          </cell>
          <cell r="H355">
            <v>1.581202E-2</v>
          </cell>
          <cell r="I355">
            <v>1.582561E-2</v>
          </cell>
          <cell r="J355">
            <v>1.5841089999999999E-2</v>
          </cell>
          <cell r="K355">
            <v>1.5886979999999998E-2</v>
          </cell>
          <cell r="L355">
            <v>1.5900959999999999E-2</v>
          </cell>
          <cell r="M355">
            <v>1.5913279999999998E-2</v>
          </cell>
          <cell r="N355">
            <v>1.5926840000000001E-2</v>
          </cell>
        </row>
        <row r="356">
          <cell r="A356" t="str">
            <v>M341A</v>
          </cell>
          <cell r="B356" t="str">
            <v>M341AARS</v>
          </cell>
          <cell r="C356" t="str">
            <v>FF Tier 1 - TAMAR FF</v>
          </cell>
          <cell r="D356">
            <v>41.7062204899701</v>
          </cell>
          <cell r="E356">
            <v>0.23164752</v>
          </cell>
          <cell r="F356">
            <v>0.23213655999999999</v>
          </cell>
          <cell r="G356">
            <v>0.23235021</v>
          </cell>
          <cell r="H356">
            <v>0.23249553000000001</v>
          </cell>
          <cell r="I356">
            <v>0.23269165</v>
          </cell>
          <cell r="J356">
            <v>0.23300345</v>
          </cell>
          <cell r="K356">
            <v>0.23357331000000001</v>
          </cell>
          <cell r="L356">
            <v>0.23392262</v>
          </cell>
          <cell r="M356">
            <v>0.23413233</v>
          </cell>
          <cell r="N356">
            <v>0.23469999999999999</v>
          </cell>
        </row>
        <row r="357">
          <cell r="A357" t="str">
            <v>CU56A</v>
          </cell>
          <cell r="B357" t="str">
            <v>CU56AARS</v>
          </cell>
          <cell r="C357" t="str">
            <v>FF Tier 1 - TAMAR FF</v>
          </cell>
          <cell r="D357">
            <v>4.9999999999721503</v>
          </cell>
          <cell r="E357">
            <v>3.9509629999999997E-2</v>
          </cell>
          <cell r="F357">
            <v>3.959878E-2</v>
          </cell>
          <cell r="G357">
            <v>3.9631090000000001E-2</v>
          </cell>
          <cell r="H357">
            <v>3.9659109999999997E-2</v>
          </cell>
          <cell r="I357">
            <v>3.9691030000000002E-2</v>
          </cell>
          <cell r="J357">
            <v>3.9729349999999997E-2</v>
          </cell>
          <cell r="K357">
            <v>3.984418E-2</v>
          </cell>
          <cell r="L357">
            <v>3.9879240000000003E-2</v>
          </cell>
          <cell r="M357">
            <v>3.9910139999999997E-2</v>
          </cell>
          <cell r="N357">
            <v>3.9944149999999998E-2</v>
          </cell>
        </row>
        <row r="358">
          <cell r="A358" t="str">
            <v>M343A</v>
          </cell>
          <cell r="B358" t="str">
            <v>M343AARS</v>
          </cell>
          <cell r="C358" t="str">
            <v>FF Tier 1 - TAMAR FF</v>
          </cell>
          <cell r="D358">
            <v>52.782159272559902</v>
          </cell>
          <cell r="E358">
            <v>0.34714234999999999</v>
          </cell>
          <cell r="F358">
            <v>0.34790785000000002</v>
          </cell>
          <cell r="G358">
            <v>0.34831498</v>
          </cell>
          <cell r="H358">
            <v>0.34858046999999998</v>
          </cell>
          <cell r="I358">
            <v>0.34886975999999997</v>
          </cell>
          <cell r="J358">
            <v>0.34935260000000001</v>
          </cell>
          <cell r="K358">
            <v>0.3501707</v>
          </cell>
          <cell r="L358">
            <v>0.35075334000000002</v>
          </cell>
          <cell r="M358">
            <v>0.35106135999999999</v>
          </cell>
          <cell r="N358">
            <v>0.35151437000000002</v>
          </cell>
        </row>
        <row r="359">
          <cell r="A359" t="str">
            <v>CU57A</v>
          </cell>
          <cell r="B359" t="str">
            <v>CU57AARS</v>
          </cell>
          <cell r="C359" t="str">
            <v>FF Tier 1 - TAMAR FF</v>
          </cell>
          <cell r="D359">
            <v>19.609445878629803</v>
          </cell>
          <cell r="E359">
            <v>0.21295823999999999</v>
          </cell>
          <cell r="F359">
            <v>0.21343449</v>
          </cell>
          <cell r="G359">
            <v>0.21362922000000001</v>
          </cell>
          <cell r="H359">
            <v>0.21378084999999999</v>
          </cell>
          <cell r="I359">
            <v>0.21396049</v>
          </cell>
          <cell r="J359">
            <v>0.21420674000000001</v>
          </cell>
          <cell r="K359">
            <v>0.21478174999999999</v>
          </cell>
          <cell r="L359">
            <v>0.21502315999999999</v>
          </cell>
          <cell r="M359">
            <v>0.21519680999999999</v>
          </cell>
          <cell r="N359">
            <v>0.21543802000000001</v>
          </cell>
        </row>
        <row r="360">
          <cell r="A360" t="str">
            <v>CU58A</v>
          </cell>
          <cell r="B360" t="str">
            <v>CU58AARS</v>
          </cell>
          <cell r="C360" t="str">
            <v>FF Tier 1 - TAMAR FF</v>
          </cell>
          <cell r="D360">
            <v>29.818683136572702</v>
          </cell>
          <cell r="E360">
            <v>0.29980027999999997</v>
          </cell>
          <cell r="F360">
            <v>0.30046569000000001</v>
          </cell>
          <cell r="G360">
            <v>0.30075966999999998</v>
          </cell>
          <cell r="H360">
            <v>0.30097359000000001</v>
          </cell>
          <cell r="I360">
            <v>0.30123055999999998</v>
          </cell>
          <cell r="J360">
            <v>0.30160856000000003</v>
          </cell>
          <cell r="K360">
            <v>0.30238042999999998</v>
          </cell>
          <cell r="L360">
            <v>0.30277133000000001</v>
          </cell>
          <cell r="M360">
            <v>0.30302244</v>
          </cell>
          <cell r="N360">
            <v>0.30340075999999999</v>
          </cell>
        </row>
        <row r="361">
          <cell r="A361" t="str">
            <v>M345A</v>
          </cell>
          <cell r="B361" t="str">
            <v>M345AARS</v>
          </cell>
          <cell r="C361" t="str">
            <v>FF Tier 1 - TAMAR FF</v>
          </cell>
          <cell r="D361">
            <v>63.501333498290499</v>
          </cell>
          <cell r="E361">
            <v>0.42291030000000002</v>
          </cell>
          <cell r="F361">
            <v>0.42383138999999997</v>
          </cell>
          <cell r="G361">
            <v>0.42435477999999999</v>
          </cell>
          <cell r="H361">
            <v>0.42467834999999998</v>
          </cell>
          <cell r="I361">
            <v>0.42501999000000001</v>
          </cell>
          <cell r="J361">
            <v>0.42561516999999999</v>
          </cell>
          <cell r="K361">
            <v>0.42658448999999998</v>
          </cell>
          <cell r="L361">
            <v>0.42736681999999998</v>
          </cell>
          <cell r="M361">
            <v>0.42775018999999997</v>
          </cell>
          <cell r="N361">
            <v>0.42826718000000003</v>
          </cell>
        </row>
        <row r="362">
          <cell r="A362" t="str">
            <v>C200A</v>
          </cell>
          <cell r="B362" t="str">
            <v>C200AARS</v>
          </cell>
          <cell r="C362" t="str">
            <v>FF Tier 1 - TAMAR FF</v>
          </cell>
          <cell r="D362">
            <v>44.895594967556498</v>
          </cell>
          <cell r="E362">
            <v>0.36014351999999999</v>
          </cell>
          <cell r="F362">
            <v>0.36092671999999998</v>
          </cell>
          <cell r="G362">
            <v>0.36130635</v>
          </cell>
          <cell r="H362">
            <v>0.36155353000000001</v>
          </cell>
          <cell r="I362">
            <v>0.36185595999999998</v>
          </cell>
          <cell r="J362">
            <v>0.36234328999999998</v>
          </cell>
          <cell r="K362">
            <v>0.36322210999999999</v>
          </cell>
          <cell r="L362">
            <v>0.36378385000000002</v>
          </cell>
          <cell r="M362">
            <v>0.36410178999999998</v>
          </cell>
          <cell r="N362">
            <v>0.36456897999999999</v>
          </cell>
        </row>
        <row r="363">
          <cell r="A363" t="str">
            <v>DT44A</v>
          </cell>
          <cell r="B363" t="str">
            <v>DT44AARS</v>
          </cell>
          <cell r="C363" t="str">
            <v>FF Tier 1 - TAMAR FF</v>
          </cell>
          <cell r="D363">
            <v>31.999999999984549</v>
          </cell>
          <cell r="E363">
            <v>0.31889836999999999</v>
          </cell>
          <cell r="F363">
            <v>0.31962298</v>
          </cell>
          <cell r="G363">
            <v>0.31990074000000002</v>
          </cell>
          <cell r="H363">
            <v>0.32013456000000001</v>
          </cell>
          <cell r="I363">
            <v>0.32039775999999998</v>
          </cell>
          <cell r="J363">
            <v>0.3207257</v>
          </cell>
          <cell r="K363">
            <v>0.32162875000000002</v>
          </cell>
          <cell r="L363">
            <v>0.32175555</v>
          </cell>
          <cell r="M363">
            <v>0.16030923999999999</v>
          </cell>
          <cell r="N363">
            <v>0.16052791999999999</v>
          </cell>
        </row>
        <row r="364">
          <cell r="A364" t="str">
            <v>CF86A</v>
          </cell>
          <cell r="B364" t="str">
            <v>CF86A</v>
          </cell>
          <cell r="C364" t="str">
            <v>FF Tier 1 - TAMAR FF</v>
          </cell>
          <cell r="D364">
            <v>50.488641034658045</v>
          </cell>
          <cell r="E364">
            <v>0.52974131999999996</v>
          </cell>
          <cell r="F364">
            <v>0.53090457999999996</v>
          </cell>
          <cell r="G364">
            <v>0.53150892999999999</v>
          </cell>
          <cell r="H364">
            <v>0.53190588000000005</v>
          </cell>
          <cell r="I364">
            <v>0.5323793</v>
          </cell>
          <cell r="J364">
            <v>0.53310714999999997</v>
          </cell>
          <cell r="K364">
            <v>0.53438215</v>
          </cell>
          <cell r="L364">
            <v>0.53525060999999996</v>
          </cell>
          <cell r="M364">
            <v>0.53571482000000004</v>
          </cell>
          <cell r="N364">
            <v>0.53638481999999998</v>
          </cell>
        </row>
        <row r="365">
          <cell r="A365" t="str">
            <v>SK01A</v>
          </cell>
          <cell r="B365" t="str">
            <v>SK01AARS</v>
          </cell>
          <cell r="C365" t="str">
            <v>FF Tier 1 - TAMAR FF</v>
          </cell>
          <cell r="D365">
            <v>87.648374756400699</v>
          </cell>
          <cell r="E365">
            <v>0.41183830999999999</v>
          </cell>
          <cell r="F365">
            <v>0.41263820000000001</v>
          </cell>
          <cell r="G365">
            <v>0.413049</v>
          </cell>
          <cell r="H365">
            <v>0.41334558999999998</v>
          </cell>
          <cell r="I365">
            <v>0.41365818999999998</v>
          </cell>
          <cell r="J365">
            <v>0.41420342999999998</v>
          </cell>
          <cell r="K365">
            <v>0.41514986999999998</v>
          </cell>
          <cell r="L365">
            <v>0.41625359000000001</v>
          </cell>
          <cell r="M365">
            <v>0.32026729999999998</v>
          </cell>
          <cell r="N365">
            <v>0.32060068000000003</v>
          </cell>
        </row>
        <row r="366">
          <cell r="A366" t="str">
            <v>DT45A</v>
          </cell>
          <cell r="B366" t="str">
            <v>DT45AARS</v>
          </cell>
          <cell r="C366" t="str">
            <v>FF Tier 1 - TAMAR FF</v>
          </cell>
          <cell r="D366">
            <v>40.547632138540848</v>
          </cell>
          <cell r="E366">
            <v>0.45781973999999998</v>
          </cell>
          <cell r="F366">
            <v>0.45885728999999997</v>
          </cell>
          <cell r="G366">
            <v>0.45926850000000002</v>
          </cell>
          <cell r="H366">
            <v>0.45960447999999998</v>
          </cell>
          <cell r="I366">
            <v>0.45998662000000001</v>
          </cell>
          <cell r="J366">
            <v>0.46048098999999998</v>
          </cell>
          <cell r="K366">
            <v>0.46175115</v>
          </cell>
          <cell r="L366">
            <v>0.46192144000000002</v>
          </cell>
          <cell r="M366">
            <v>0.26520081000000001</v>
          </cell>
          <cell r="N366">
            <v>0.26557682999999999</v>
          </cell>
        </row>
        <row r="367">
          <cell r="A367" t="str">
            <v>CU59A</v>
          </cell>
          <cell r="B367" t="str">
            <v>CU59AARS</v>
          </cell>
          <cell r="C367" t="str">
            <v>FF Tier 1 - TAMAR FF</v>
          </cell>
          <cell r="D367">
            <v>40.443162641318196</v>
          </cell>
          <cell r="E367">
            <v>0.62412895999999995</v>
          </cell>
          <cell r="F367">
            <v>0.62549926</v>
          </cell>
          <cell r="G367">
            <v>0.62615233000000003</v>
          </cell>
          <cell r="H367">
            <v>0.62659825000000002</v>
          </cell>
          <cell r="I367">
            <v>0.62712491999999997</v>
          </cell>
          <cell r="J367">
            <v>0.62793927000000005</v>
          </cell>
          <cell r="K367">
            <v>0.62949372999999997</v>
          </cell>
          <cell r="L367">
            <v>0.63041493000000004</v>
          </cell>
          <cell r="M367">
            <v>0.63095027999999997</v>
          </cell>
          <cell r="N367">
            <v>0.63172737000000001</v>
          </cell>
        </row>
        <row r="368">
          <cell r="A368" t="str">
            <v>CU60A</v>
          </cell>
          <cell r="B368" t="str">
            <v>CU60AARS</v>
          </cell>
          <cell r="C368" t="str">
            <v>FF Tier 1 - TAMAR FF</v>
          </cell>
          <cell r="D368">
            <v>49.877935021940601</v>
          </cell>
          <cell r="E368">
            <v>1.00657072</v>
          </cell>
          <cell r="F368">
            <v>1.0087556799999999</v>
          </cell>
          <cell r="G368">
            <v>1.00986522</v>
          </cell>
          <cell r="H368">
            <v>1.01058351</v>
          </cell>
          <cell r="I368">
            <v>1.0114079600000001</v>
          </cell>
          <cell r="J368">
            <v>1.01273134</v>
          </cell>
          <cell r="K368">
            <v>1.01518457</v>
          </cell>
          <cell r="L368">
            <v>1.0168219300000001</v>
          </cell>
          <cell r="M368">
            <v>1.01770268</v>
          </cell>
          <cell r="N368">
            <v>1.0188719399999999</v>
          </cell>
        </row>
        <row r="369">
          <cell r="A369" t="str">
            <v>CU61A</v>
          </cell>
          <cell r="B369" t="str">
            <v>CU61AARS</v>
          </cell>
          <cell r="C369" t="str">
            <v>FF Tier 1 - TAMAR FF</v>
          </cell>
          <cell r="D369">
            <v>68.393924672753357</v>
          </cell>
          <cell r="E369">
            <v>0.98281662000000003</v>
          </cell>
          <cell r="F369">
            <v>0.98494055999999996</v>
          </cell>
          <cell r="G369">
            <v>0.98602820000000002</v>
          </cell>
          <cell r="H369">
            <v>0.98658029999999997</v>
          </cell>
          <cell r="I369">
            <v>0.98733300999999996</v>
          </cell>
          <cell r="J369">
            <v>0.98877042000000004</v>
          </cell>
          <cell r="K369">
            <v>0.99100527000000005</v>
          </cell>
          <cell r="L369">
            <v>0.99295317999999999</v>
          </cell>
          <cell r="M369">
            <v>0.99393103000000005</v>
          </cell>
          <cell r="N369">
            <v>0.99550000000000005</v>
          </cell>
        </row>
        <row r="370">
          <cell r="A370" t="str">
            <v>M347A</v>
          </cell>
          <cell r="B370" t="str">
            <v>M347AARS</v>
          </cell>
          <cell r="C370" t="str">
            <v>FF Tier 1 - TAMAR FF</v>
          </cell>
          <cell r="D370">
            <v>80.113545523084554</v>
          </cell>
          <cell r="E370">
            <v>0.51516627999999998</v>
          </cell>
          <cell r="F370">
            <v>0.51626455999999998</v>
          </cell>
          <cell r="G370">
            <v>0.51695314000000003</v>
          </cell>
          <cell r="H370">
            <v>0.51734780999999996</v>
          </cell>
          <cell r="I370">
            <v>0.51773382000000001</v>
          </cell>
          <cell r="J370">
            <v>0.51844869000000005</v>
          </cell>
          <cell r="K370">
            <v>0.51959440999999995</v>
          </cell>
          <cell r="L370">
            <v>0.52068219999999998</v>
          </cell>
          <cell r="M370">
            <v>0.52116324999999997</v>
          </cell>
          <cell r="N370">
            <v>0.52167286000000002</v>
          </cell>
        </row>
        <row r="371">
          <cell r="A371" t="str">
            <v>DT46A</v>
          </cell>
          <cell r="B371" t="str">
            <v>DT46AARS</v>
          </cell>
          <cell r="C371" t="str">
            <v>FF Tier 1 - TAMAR FF</v>
          </cell>
          <cell r="D371">
            <v>58.203918465197653</v>
          </cell>
          <cell r="E371">
            <v>1.0058975699999999</v>
          </cell>
          <cell r="F371">
            <v>1.00812301</v>
          </cell>
          <cell r="G371">
            <v>1.0092064300000001</v>
          </cell>
          <cell r="H371">
            <v>1.0099501799999999</v>
          </cell>
          <cell r="I371">
            <v>1.01079045</v>
          </cell>
          <cell r="J371">
            <v>1.0120756900000001</v>
          </cell>
          <cell r="K371">
            <v>1.0145838899999999</v>
          </cell>
          <cell r="L371">
            <v>1.0167199200000001</v>
          </cell>
          <cell r="M371">
            <v>0.62513430999999997</v>
          </cell>
          <cell r="N371">
            <v>0.62601167999999996</v>
          </cell>
        </row>
        <row r="372">
          <cell r="A372" t="str">
            <v>M349A</v>
          </cell>
          <cell r="B372" t="str">
            <v>M349AARS</v>
          </cell>
          <cell r="C372" t="str">
            <v>FF Tier 1 - TAMAR FF</v>
          </cell>
          <cell r="D372">
            <v>95.573035571936998</v>
          </cell>
          <cell r="E372">
            <v>0.62455282999999995</v>
          </cell>
          <cell r="F372">
            <v>0.62585338999999995</v>
          </cell>
          <cell r="G372">
            <v>0.62674333999999998</v>
          </cell>
          <cell r="H372">
            <v>0.62722144000000002</v>
          </cell>
          <cell r="I372">
            <v>0.62763875999999996</v>
          </cell>
          <cell r="J372">
            <v>0.62845547999999996</v>
          </cell>
          <cell r="K372">
            <v>0.62983270999999996</v>
          </cell>
          <cell r="L372">
            <v>0.63130010999999997</v>
          </cell>
          <cell r="M372">
            <v>0.63189753999999998</v>
          </cell>
          <cell r="N372">
            <v>0.63228983999999999</v>
          </cell>
        </row>
        <row r="373">
          <cell r="A373" t="str">
            <v>M351A</v>
          </cell>
          <cell r="B373" t="str">
            <v>M351AARS</v>
          </cell>
          <cell r="C373" t="str">
            <v>FF Tier 1 - TAMAR FF</v>
          </cell>
          <cell r="D373">
            <v>100.0911616648586</v>
          </cell>
          <cell r="E373">
            <v>0.68620334999999999</v>
          </cell>
          <cell r="F373">
            <v>0.68762175000000003</v>
          </cell>
          <cell r="G373">
            <v>0.68861691000000003</v>
          </cell>
          <cell r="H373">
            <v>0.68914193000000001</v>
          </cell>
          <cell r="I373">
            <v>0.68958176000000004</v>
          </cell>
          <cell r="J373">
            <v>0.69045751</v>
          </cell>
          <cell r="K373">
            <v>0.69197092000000004</v>
          </cell>
          <cell r="L373">
            <v>0.69363041999999997</v>
          </cell>
          <cell r="M373">
            <v>0.69429116999999996</v>
          </cell>
          <cell r="N373">
            <v>0.69463675999999996</v>
          </cell>
        </row>
        <row r="374">
          <cell r="A374" t="str">
            <v>C201A</v>
          </cell>
          <cell r="B374" t="str">
            <v>C201AARS</v>
          </cell>
          <cell r="C374" t="str">
            <v>FF Tier 1 - TAMAR FF</v>
          </cell>
          <cell r="D374">
            <v>50.326765495554852</v>
          </cell>
          <cell r="E374">
            <v>0.40025738</v>
          </cell>
          <cell r="F374">
            <v>0.40112279000000001</v>
          </cell>
          <cell r="G374">
            <v>0.40155822000000002</v>
          </cell>
          <cell r="H374">
            <v>0.40183333999999998</v>
          </cell>
          <cell r="I374">
            <v>0.40216580000000002</v>
          </cell>
          <cell r="J374">
            <v>0.40271404</v>
          </cell>
          <cell r="K374">
            <v>0.40367521000000001</v>
          </cell>
          <cell r="L374">
            <v>0.40433445000000001</v>
          </cell>
          <cell r="M374">
            <v>0.40469168</v>
          </cell>
          <cell r="N374">
            <v>0.40520201</v>
          </cell>
        </row>
        <row r="375">
          <cell r="A375" t="str">
            <v>C202A</v>
          </cell>
          <cell r="B375" t="str">
            <v>C202AARS</v>
          </cell>
          <cell r="C375" t="str">
            <v>FF Tier 1 - TAMAR FF</v>
          </cell>
          <cell r="D375">
            <v>98.531435425100398</v>
          </cell>
          <cell r="E375">
            <v>0.71093890999999998</v>
          </cell>
          <cell r="F375">
            <v>0.71237746000000002</v>
          </cell>
          <cell r="G375">
            <v>0.71335342999999996</v>
          </cell>
          <cell r="H375">
            <v>0.71384433000000003</v>
          </cell>
          <cell r="I375">
            <v>0.71429880999999995</v>
          </cell>
          <cell r="J375">
            <v>0.71519522999999996</v>
          </cell>
          <cell r="K375">
            <v>0.71678841000000004</v>
          </cell>
          <cell r="L375">
            <v>0.71849492000000004</v>
          </cell>
          <cell r="M375">
            <v>0.71918325000000005</v>
          </cell>
          <cell r="N375">
            <v>0.71952355000000001</v>
          </cell>
        </row>
        <row r="376">
          <cell r="A376" t="str">
            <v>DT47A</v>
          </cell>
          <cell r="B376" t="str">
            <v>DT47AARS</v>
          </cell>
          <cell r="C376" t="str">
            <v>FF Tier 1 - TAMAR FF</v>
          </cell>
          <cell r="D376">
            <v>79.723435910374349</v>
          </cell>
          <cell r="E376">
            <v>1.0023903999999999</v>
          </cell>
          <cell r="F376">
            <v>1.0045310000000001</v>
          </cell>
          <cell r="G376">
            <v>1.00583303</v>
          </cell>
          <cell r="H376">
            <v>1.00657942</v>
          </cell>
          <cell r="I376">
            <v>1.0073821199999999</v>
          </cell>
          <cell r="J376">
            <v>1.00883177</v>
          </cell>
          <cell r="K376">
            <v>1.0110340099999999</v>
          </cell>
          <cell r="L376">
            <v>1.01311522</v>
          </cell>
          <cell r="M376">
            <v>0.99341031000000002</v>
          </cell>
          <cell r="N376">
            <v>0.99454737000000004</v>
          </cell>
        </row>
        <row r="377">
          <cell r="A377" t="str">
            <v>M353A</v>
          </cell>
          <cell r="B377" t="str">
            <v>M353AARS</v>
          </cell>
          <cell r="C377" t="str">
            <v>FF Tier 1 - TAMAR FF</v>
          </cell>
          <cell r="D377">
            <v>103.708940443774</v>
          </cell>
          <cell r="E377">
            <v>0.78005524000000004</v>
          </cell>
          <cell r="F377">
            <v>0.78165653000000002</v>
          </cell>
          <cell r="G377">
            <v>0.78280276000000004</v>
          </cell>
          <cell r="H377">
            <v>0.78339913999999999</v>
          </cell>
          <cell r="I377">
            <v>0.78387571</v>
          </cell>
          <cell r="J377">
            <v>0.78483665000000002</v>
          </cell>
          <cell r="K377">
            <v>0.78656800000000004</v>
          </cell>
          <cell r="L377">
            <v>0.78849597999999999</v>
          </cell>
          <cell r="M377">
            <v>0.78925034999999999</v>
          </cell>
          <cell r="N377">
            <v>0.78953068999999998</v>
          </cell>
        </row>
        <row r="378">
          <cell r="A378" t="str">
            <v>WC08A</v>
          </cell>
          <cell r="B378" t="str">
            <v>WC08AARS</v>
          </cell>
          <cell r="C378" t="str">
            <v>FF Tier 1 - TAMAR FF</v>
          </cell>
          <cell r="D378">
            <v>157.2253937160267</v>
          </cell>
          <cell r="E378">
            <v>0.90941046000000003</v>
          </cell>
          <cell r="F378">
            <v>0.91112992999999998</v>
          </cell>
          <cell r="G378">
            <v>0.91261738000000003</v>
          </cell>
          <cell r="H378">
            <v>0.91329234999999998</v>
          </cell>
          <cell r="I378">
            <v>0.91359104000000002</v>
          </cell>
          <cell r="J378">
            <v>0.91429727000000005</v>
          </cell>
          <cell r="K378">
            <v>0.91645476999999997</v>
          </cell>
          <cell r="L378">
            <v>0.91917406000000001</v>
          </cell>
          <cell r="M378">
            <v>0.81826155</v>
          </cell>
          <cell r="N378">
            <v>0.8171851</v>
          </cell>
        </row>
        <row r="379">
          <cell r="A379" t="str">
            <v>DT48A</v>
          </cell>
          <cell r="B379" t="str">
            <v>DT48AARS</v>
          </cell>
          <cell r="C379" t="str">
            <v>FF Tier 1 - TAMAR FF</v>
          </cell>
          <cell r="D379">
            <v>106.11707494419986</v>
          </cell>
          <cell r="E379">
            <v>1.00011965</v>
          </cell>
          <cell r="F379">
            <v>1.00218681</v>
          </cell>
          <cell r="G379">
            <v>1.0036425600000001</v>
          </cell>
          <cell r="H379">
            <v>1.0043909900000001</v>
          </cell>
          <cell r="I379">
            <v>1.00511157</v>
          </cell>
          <cell r="J379">
            <v>1.0065506399999999</v>
          </cell>
          <cell r="K379">
            <v>1.0086247100000001</v>
          </cell>
          <cell r="L379">
            <v>1.0111099400000001</v>
          </cell>
          <cell r="M379">
            <v>0.99144527000000005</v>
          </cell>
          <cell r="N379">
            <v>0.99227204000000002</v>
          </cell>
        </row>
        <row r="380">
          <cell r="A380" t="str">
            <v>M355A</v>
          </cell>
          <cell r="B380" t="str">
            <v>M355AARS</v>
          </cell>
          <cell r="C380" t="str">
            <v>FF Tier 1 - TAMAR FF</v>
          </cell>
          <cell r="D380">
            <v>113.29553439392944</v>
          </cell>
          <cell r="E380">
            <v>0.90756258999999995</v>
          </cell>
          <cell r="F380">
            <v>0.90939433999999997</v>
          </cell>
          <cell r="G380">
            <v>0.91077553</v>
          </cell>
          <cell r="H380">
            <v>0.91146813000000004</v>
          </cell>
          <cell r="I380">
            <v>0.91196341000000003</v>
          </cell>
          <cell r="J380">
            <v>0.91300537000000004</v>
          </cell>
          <cell r="K380">
            <v>0.91503151999999999</v>
          </cell>
          <cell r="L380">
            <v>0.91740557</v>
          </cell>
          <cell r="M380">
            <v>0.91829477999999998</v>
          </cell>
          <cell r="N380">
            <v>0.91834532000000002</v>
          </cell>
        </row>
        <row r="381">
          <cell r="A381" t="str">
            <v>M357A</v>
          </cell>
          <cell r="B381" t="str">
            <v>M357AARS</v>
          </cell>
          <cell r="C381" t="str">
            <v>FF Tier 1 - TAMAR FF</v>
          </cell>
          <cell r="D381">
            <v>130.96392939628529</v>
          </cell>
          <cell r="E381">
            <v>1.0294700299999999</v>
          </cell>
          <cell r="F381">
            <v>1.03147974</v>
          </cell>
          <cell r="G381">
            <v>1.0331432899999999</v>
          </cell>
          <cell r="H381">
            <v>1.03392453</v>
          </cell>
          <cell r="I381">
            <v>1.0343582</v>
          </cell>
          <cell r="J381">
            <v>1.0353686200000001</v>
          </cell>
          <cell r="K381">
            <v>1.0377008999999999</v>
          </cell>
          <cell r="L381">
            <v>1.04066547</v>
          </cell>
          <cell r="M381">
            <v>1.04169661</v>
          </cell>
          <cell r="N381">
            <v>1.04114968</v>
          </cell>
        </row>
        <row r="382">
          <cell r="A382" t="str">
            <v>SK02A</v>
          </cell>
          <cell r="B382" t="str">
            <v>SK02AARS</v>
          </cell>
          <cell r="C382" t="str">
            <v>FF Tier 1 - TAMAR FF</v>
          </cell>
          <cell r="D382">
            <v>170.125767690499</v>
          </cell>
          <cell r="E382">
            <v>0.76180862000000005</v>
          </cell>
          <cell r="F382">
            <v>0.76322681999999997</v>
          </cell>
          <cell r="G382">
            <v>0.76453428999999995</v>
          </cell>
          <cell r="H382">
            <v>0.76511428000000004</v>
          </cell>
          <cell r="I382">
            <v>0.76527265</v>
          </cell>
          <cell r="J382">
            <v>0.76570956999999995</v>
          </cell>
          <cell r="K382">
            <v>0.76758775000000001</v>
          </cell>
          <cell r="L382">
            <v>0.76983424</v>
          </cell>
          <cell r="M382">
            <v>0.69091265999999996</v>
          </cell>
          <cell r="N382">
            <v>0.68951382000000006</v>
          </cell>
        </row>
        <row r="383">
          <cell r="A383" t="str">
            <v>DT49A</v>
          </cell>
          <cell r="B383" t="str">
            <v>DT49AARS</v>
          </cell>
          <cell r="C383" t="str">
            <v>FF Tier 1 - TAMAR FF</v>
          </cell>
          <cell r="D383">
            <v>129.1892929631822</v>
          </cell>
          <cell r="E383">
            <v>0.99790730000000005</v>
          </cell>
          <cell r="F383">
            <v>0.99990049999999997</v>
          </cell>
          <cell r="G383">
            <v>1.00148378</v>
          </cell>
          <cell r="H383">
            <v>1.00223065</v>
          </cell>
          <cell r="I383">
            <v>1.00284248</v>
          </cell>
          <cell r="J383">
            <v>1.0041870799999999</v>
          </cell>
          <cell r="K383">
            <v>1.0062106399999999</v>
          </cell>
          <cell r="L383">
            <v>1.00904014</v>
          </cell>
          <cell r="M383">
            <v>0.98940744000000003</v>
          </cell>
          <cell r="N383">
            <v>0.98976476999999996</v>
          </cell>
        </row>
        <row r="384">
          <cell r="A384" t="str">
            <v>DT50A</v>
          </cell>
          <cell r="B384" t="str">
            <v>DT50AARS</v>
          </cell>
          <cell r="C384" t="str">
            <v>FF Tier 1 - TAMAR FF</v>
          </cell>
          <cell r="D384">
            <v>134.43501566728531</v>
          </cell>
          <cell r="E384">
            <v>0.99729020999999995</v>
          </cell>
          <cell r="F384">
            <v>0.99926229</v>
          </cell>
          <cell r="G384">
            <v>1.0008716600000001</v>
          </cell>
          <cell r="H384">
            <v>1.0016167899999999</v>
          </cell>
          <cell r="I384">
            <v>1.0021877800000001</v>
          </cell>
          <cell r="J384">
            <v>1.00347392</v>
          </cell>
          <cell r="K384">
            <v>1.0055125300000001</v>
          </cell>
          <cell r="L384">
            <v>1.00841636</v>
          </cell>
          <cell r="M384">
            <v>0.98878944999999996</v>
          </cell>
          <cell r="N384">
            <v>0.98895407999999996</v>
          </cell>
        </row>
        <row r="385">
          <cell r="A385" t="str">
            <v>M359A</v>
          </cell>
          <cell r="B385" t="str">
            <v>M359AARS</v>
          </cell>
          <cell r="C385" t="str">
            <v>FF Tier 1 - TAMAR FF</v>
          </cell>
          <cell r="D385">
            <v>148.81646710984475</v>
          </cell>
          <cell r="E385">
            <v>1.00117301</v>
          </cell>
          <cell r="F385">
            <v>1.0030731799999999</v>
          </cell>
          <cell r="G385">
            <v>1.0047922600000001</v>
          </cell>
          <cell r="H385">
            <v>1.00554754</v>
          </cell>
          <cell r="I385">
            <v>1.0058950200000001</v>
          </cell>
          <cell r="J385">
            <v>1.0068354100000001</v>
          </cell>
          <cell r="K385">
            <v>1.0090466</v>
          </cell>
          <cell r="L385">
            <v>1.0122099499999999</v>
          </cell>
          <cell r="M385">
            <v>1.01324367</v>
          </cell>
          <cell r="N385">
            <v>1.01241041</v>
          </cell>
        </row>
        <row r="386">
          <cell r="A386" t="str">
            <v>DT54A</v>
          </cell>
          <cell r="B386" t="str">
            <v>DT54AARS</v>
          </cell>
          <cell r="C386" t="str">
            <v>FF Tier 1 - TAMAR FF</v>
          </cell>
          <cell r="D386">
            <v>218.73042803791529</v>
          </cell>
          <cell r="E386">
            <v>0.97226961000000001</v>
          </cell>
          <cell r="F386">
            <v>0.97386326999999995</v>
          </cell>
          <cell r="G386">
            <v>0.97587734000000004</v>
          </cell>
          <cell r="H386">
            <v>0.97659342000000005</v>
          </cell>
          <cell r="I386">
            <v>0.97643957000000003</v>
          </cell>
          <cell r="J386">
            <v>0.97662875000000005</v>
          </cell>
          <cell r="K386">
            <v>0.97896689000000003</v>
          </cell>
          <cell r="L386">
            <v>0.98302480000000003</v>
          </cell>
          <cell r="M386">
            <v>0.98065654000000002</v>
          </cell>
          <cell r="N386">
            <v>0.97740302999999995</v>
          </cell>
        </row>
        <row r="387">
          <cell r="A387" t="str">
            <v>DT55A</v>
          </cell>
          <cell r="B387" t="str">
            <v>DT55AARS</v>
          </cell>
          <cell r="C387" t="str">
            <v>FF Tier 1 - TAMAR FF</v>
          </cell>
          <cell r="D387">
            <v>241.6319600717321</v>
          </cell>
        </row>
        <row r="388">
          <cell r="A388"/>
          <cell r="B388"/>
          <cell r="C388"/>
          <cell r="D388"/>
        </row>
        <row r="389">
          <cell r="A389" t="str">
            <v>Acciones en pesos</v>
          </cell>
          <cell r="B389"/>
          <cell r="C389"/>
          <cell r="D389"/>
        </row>
        <row r="390">
          <cell r="A390"/>
          <cell r="B390"/>
          <cell r="C390"/>
          <cell r="D390"/>
        </row>
        <row r="391">
          <cell r="A391" t="str">
            <v>GGAL</v>
          </cell>
          <cell r="B391" t="str">
            <v>GGALARS</v>
          </cell>
          <cell r="C391">
            <v>0</v>
          </cell>
          <cell r="D391">
            <v>0</v>
          </cell>
          <cell r="E391">
            <v>5865</v>
          </cell>
          <cell r="F391">
            <v>5835</v>
          </cell>
          <cell r="G391">
            <v>6135</v>
          </cell>
          <cell r="H391">
            <v>6165</v>
          </cell>
          <cell r="I391">
            <v>5970</v>
          </cell>
          <cell r="J391">
            <v>5950</v>
          </cell>
          <cell r="K391">
            <v>5940</v>
          </cell>
          <cell r="L391">
            <v>5940</v>
          </cell>
          <cell r="M391">
            <v>5750</v>
          </cell>
          <cell r="N391">
            <v>5900</v>
          </cell>
        </row>
        <row r="392">
          <cell r="A392" t="str">
            <v>TXAR</v>
          </cell>
          <cell r="B392" t="str">
            <v>TXARARS</v>
          </cell>
          <cell r="C392">
            <v>0</v>
          </cell>
          <cell r="D392">
            <v>0</v>
          </cell>
          <cell r="E392">
            <v>662.5</v>
          </cell>
          <cell r="F392">
            <v>674.5</v>
          </cell>
          <cell r="G392">
            <v>673</v>
          </cell>
          <cell r="H392">
            <v>665.5</v>
          </cell>
          <cell r="I392">
            <v>659</v>
          </cell>
          <cell r="J392">
            <v>669</v>
          </cell>
          <cell r="K392">
            <v>671</v>
          </cell>
          <cell r="L392">
            <v>702.5</v>
          </cell>
          <cell r="M392">
            <v>698.5</v>
          </cell>
          <cell r="N392">
            <v>723.5</v>
          </cell>
        </row>
        <row r="393">
          <cell r="A393" t="str">
            <v>YPFD</v>
          </cell>
          <cell r="B393" t="str">
            <v>YPFDARS</v>
          </cell>
          <cell r="C393">
            <v>0</v>
          </cell>
          <cell r="D393">
            <v>0</v>
          </cell>
          <cell r="E393">
            <v>8005</v>
          </cell>
          <cell r="F393">
            <v>8050</v>
          </cell>
          <cell r="G393">
            <v>8225</v>
          </cell>
          <cell r="H393">
            <v>8245</v>
          </cell>
          <cell r="I393">
            <v>7980</v>
          </cell>
          <cell r="J393">
            <v>8045</v>
          </cell>
          <cell r="K393">
            <v>8065</v>
          </cell>
          <cell r="L393">
            <v>8330</v>
          </cell>
          <cell r="M393">
            <v>8460</v>
          </cell>
          <cell r="N393">
            <v>8270</v>
          </cell>
        </row>
        <row r="394">
          <cell r="A394" t="str">
            <v>PAMP</v>
          </cell>
          <cell r="B394" t="str">
            <v>PAMPARS</v>
          </cell>
          <cell r="C394">
            <v>0</v>
          </cell>
          <cell r="D394">
            <v>0</v>
          </cell>
          <cell r="E394">
            <v>4942.5</v>
          </cell>
          <cell r="F394">
            <v>4972.5</v>
          </cell>
          <cell r="G394">
            <v>5130</v>
          </cell>
          <cell r="H394">
            <v>5265</v>
          </cell>
          <cell r="I394">
            <v>5150</v>
          </cell>
          <cell r="J394">
            <v>5190</v>
          </cell>
          <cell r="K394">
            <v>5190</v>
          </cell>
          <cell r="L394">
            <v>5235</v>
          </cell>
          <cell r="M394">
            <v>5220</v>
          </cell>
          <cell r="N394">
            <v>5205</v>
          </cell>
        </row>
        <row r="395">
          <cell r="A395" t="str">
            <v>BBAR</v>
          </cell>
          <cell r="B395" t="str">
            <v>BBARARS</v>
          </cell>
          <cell r="C395">
            <v>0</v>
          </cell>
          <cell r="D395">
            <v>0</v>
          </cell>
          <cell r="E395">
            <v>6750</v>
          </cell>
          <cell r="F395">
            <v>6750</v>
          </cell>
          <cell r="G395">
            <v>7130</v>
          </cell>
          <cell r="H395">
            <v>7325</v>
          </cell>
          <cell r="I395">
            <v>6975</v>
          </cell>
          <cell r="J395">
            <v>6820</v>
          </cell>
          <cell r="K395">
            <v>6800</v>
          </cell>
          <cell r="L395">
            <v>6965</v>
          </cell>
          <cell r="M395">
            <v>6760</v>
          </cell>
          <cell r="N395">
            <v>6980</v>
          </cell>
        </row>
        <row r="396">
          <cell r="A396" t="str">
            <v>ALUA</v>
          </cell>
          <cell r="B396" t="str">
            <v>ALUAARS</v>
          </cell>
          <cell r="C396">
            <v>0</v>
          </cell>
          <cell r="D396">
            <v>0</v>
          </cell>
          <cell r="E396">
            <v>812</v>
          </cell>
          <cell r="F396">
            <v>817</v>
          </cell>
          <cell r="G396">
            <v>830</v>
          </cell>
          <cell r="H396">
            <v>813.5</v>
          </cell>
          <cell r="I396">
            <v>808</v>
          </cell>
          <cell r="J396">
            <v>812</v>
          </cell>
          <cell r="K396">
            <v>839.5</v>
          </cell>
          <cell r="L396">
            <v>849.5</v>
          </cell>
          <cell r="M396">
            <v>830</v>
          </cell>
          <cell r="N396">
            <v>845</v>
          </cell>
        </row>
        <row r="397">
          <cell r="A397" t="str">
            <v>LOMA</v>
          </cell>
          <cell r="B397" t="str">
            <v>LOMAARS</v>
          </cell>
          <cell r="C397">
            <v>0</v>
          </cell>
          <cell r="D397">
            <v>0</v>
          </cell>
          <cell r="E397">
            <v>2925</v>
          </cell>
          <cell r="F397">
            <v>2980</v>
          </cell>
          <cell r="G397">
            <v>3127.5</v>
          </cell>
          <cell r="H397">
            <v>3135</v>
          </cell>
          <cell r="I397">
            <v>3067.5</v>
          </cell>
          <cell r="J397">
            <v>3220</v>
          </cell>
          <cell r="K397">
            <v>3257.5</v>
          </cell>
          <cell r="L397">
            <v>3222.5</v>
          </cell>
          <cell r="M397">
            <v>3215</v>
          </cell>
          <cell r="N397">
            <v>3257.5</v>
          </cell>
        </row>
        <row r="398">
          <cell r="A398" t="str">
            <v>CEPU</v>
          </cell>
          <cell r="B398" t="str">
            <v>CEPUARS</v>
          </cell>
          <cell r="C398">
            <v>0</v>
          </cell>
          <cell r="D398">
            <v>0</v>
          </cell>
          <cell r="E398">
            <v>1913</v>
          </cell>
          <cell r="F398">
            <v>1893</v>
          </cell>
          <cell r="G398">
            <v>1987</v>
          </cell>
          <cell r="H398">
            <v>2049</v>
          </cell>
          <cell r="I398">
            <v>2016</v>
          </cell>
          <cell r="J398">
            <v>2033</v>
          </cell>
          <cell r="K398">
            <v>2034</v>
          </cell>
          <cell r="L398">
            <v>2119</v>
          </cell>
          <cell r="M398">
            <v>2056</v>
          </cell>
          <cell r="N398">
            <v>2071</v>
          </cell>
        </row>
        <row r="399">
          <cell r="A399" t="str">
            <v>BYMA</v>
          </cell>
          <cell r="B399" t="str">
            <v>BYMAARS</v>
          </cell>
          <cell r="C399">
            <v>0</v>
          </cell>
          <cell r="D399">
            <v>0</v>
          </cell>
          <cell r="E399">
            <v>242.5</v>
          </cell>
          <cell r="F399">
            <v>251.5</v>
          </cell>
          <cell r="G399">
            <v>257</v>
          </cell>
          <cell r="H399">
            <v>261.25</v>
          </cell>
          <cell r="I399">
            <v>258</v>
          </cell>
          <cell r="J399">
            <v>254</v>
          </cell>
          <cell r="K399">
            <v>255.25</v>
          </cell>
          <cell r="L399">
            <v>257.75</v>
          </cell>
          <cell r="M399">
            <v>256.75</v>
          </cell>
          <cell r="N399">
            <v>257.25</v>
          </cell>
        </row>
        <row r="400">
          <cell r="A400" t="str">
            <v>SUPV</v>
          </cell>
          <cell r="B400" t="str">
            <v>SUPVARS</v>
          </cell>
          <cell r="C400">
            <v>0</v>
          </cell>
          <cell r="D400">
            <v>0</v>
          </cell>
          <cell r="E400">
            <v>2235</v>
          </cell>
          <cell r="F400">
            <v>2249</v>
          </cell>
          <cell r="G400">
            <v>2369</v>
          </cell>
          <cell r="H400">
            <v>2412</v>
          </cell>
          <cell r="I400">
            <v>2316</v>
          </cell>
          <cell r="J400">
            <v>2305</v>
          </cell>
          <cell r="K400">
            <v>2314</v>
          </cell>
          <cell r="L400">
            <v>2331</v>
          </cell>
          <cell r="M400">
            <v>2273</v>
          </cell>
          <cell r="N400">
            <v>2386</v>
          </cell>
        </row>
        <row r="401">
          <cell r="A401" t="str">
            <v>TGNO4</v>
          </cell>
          <cell r="B401" t="str">
            <v>TGNO4ARS</v>
          </cell>
          <cell r="C401">
            <v>0</v>
          </cell>
          <cell r="D401">
            <v>0</v>
          </cell>
          <cell r="E401">
            <v>3252.5</v>
          </cell>
          <cell r="F401">
            <v>3285</v>
          </cell>
          <cell r="G401">
            <v>3372.5</v>
          </cell>
          <cell r="H401">
            <v>3340</v>
          </cell>
          <cell r="I401">
            <v>3315</v>
          </cell>
          <cell r="J401">
            <v>3312.5</v>
          </cell>
          <cell r="K401">
            <v>3297.5</v>
          </cell>
          <cell r="L401">
            <v>3252.5</v>
          </cell>
          <cell r="M401">
            <v>3195</v>
          </cell>
          <cell r="N401">
            <v>3265</v>
          </cell>
        </row>
        <row r="402">
          <cell r="A402" t="str">
            <v>CRES</v>
          </cell>
          <cell r="B402" t="str">
            <v>CRESARS</v>
          </cell>
          <cell r="C402">
            <v>0</v>
          </cell>
          <cell r="D402">
            <v>0</v>
          </cell>
          <cell r="E402">
            <v>1841</v>
          </cell>
          <cell r="F402">
            <v>1829</v>
          </cell>
          <cell r="G402">
            <v>1907</v>
          </cell>
          <cell r="H402">
            <v>1952</v>
          </cell>
          <cell r="I402">
            <v>1873</v>
          </cell>
          <cell r="J402">
            <v>1873</v>
          </cell>
          <cell r="K402">
            <v>1837</v>
          </cell>
          <cell r="L402">
            <v>1851</v>
          </cell>
          <cell r="M402">
            <v>1793</v>
          </cell>
          <cell r="N402">
            <v>1840</v>
          </cell>
        </row>
        <row r="403">
          <cell r="A403" t="str">
            <v>TECO2</v>
          </cell>
          <cell r="B403" t="str">
            <v>TECO2ARS</v>
          </cell>
          <cell r="C403">
            <v>0</v>
          </cell>
          <cell r="D403">
            <v>0</v>
          </cell>
          <cell r="E403">
            <v>3802.5</v>
          </cell>
          <cell r="F403">
            <v>3832.5</v>
          </cell>
          <cell r="G403">
            <v>4032.5</v>
          </cell>
          <cell r="H403">
            <v>4075</v>
          </cell>
          <cell r="I403">
            <v>4077.5</v>
          </cell>
          <cell r="J403">
            <v>4142.5</v>
          </cell>
          <cell r="K403">
            <v>3990</v>
          </cell>
          <cell r="L403">
            <v>3977.5</v>
          </cell>
          <cell r="M403">
            <v>4017.5</v>
          </cell>
          <cell r="N403">
            <v>4052.5</v>
          </cell>
        </row>
        <row r="404">
          <cell r="A404" t="str">
            <v>VALO</v>
          </cell>
          <cell r="B404" t="str">
            <v>VALOARS</v>
          </cell>
          <cell r="C404">
            <v>0</v>
          </cell>
          <cell r="D404">
            <v>0</v>
          </cell>
          <cell r="E404">
            <v>534.5</v>
          </cell>
          <cell r="F404">
            <v>535.5</v>
          </cell>
          <cell r="G404">
            <v>541</v>
          </cell>
          <cell r="H404">
            <v>545</v>
          </cell>
          <cell r="I404">
            <v>543.5</v>
          </cell>
          <cell r="J404">
            <v>540</v>
          </cell>
          <cell r="K404">
            <v>540.5</v>
          </cell>
          <cell r="L404">
            <v>540.5</v>
          </cell>
          <cell r="M404">
            <v>529.5</v>
          </cell>
          <cell r="N404">
            <v>525</v>
          </cell>
        </row>
        <row r="405">
          <cell r="A405" t="str">
            <v>TGSU2</v>
          </cell>
          <cell r="B405" t="str">
            <v>TGSU2ARS</v>
          </cell>
          <cell r="C405">
            <v>0</v>
          </cell>
          <cell r="D405">
            <v>0</v>
          </cell>
          <cell r="E405">
            <v>8120</v>
          </cell>
          <cell r="F405">
            <v>8105</v>
          </cell>
          <cell r="G405">
            <v>8580</v>
          </cell>
          <cell r="H405">
            <v>8715</v>
          </cell>
          <cell r="I405">
            <v>8475</v>
          </cell>
          <cell r="J405">
            <v>8490</v>
          </cell>
          <cell r="K405">
            <v>8340</v>
          </cell>
          <cell r="L405">
            <v>8415</v>
          </cell>
          <cell r="M405">
            <v>8395</v>
          </cell>
          <cell r="N405">
            <v>8370</v>
          </cell>
        </row>
        <row r="406">
          <cell r="A406" t="str">
            <v>AUSO</v>
          </cell>
          <cell r="B406" t="str">
            <v>AUSOARS</v>
          </cell>
          <cell r="C406">
            <v>0</v>
          </cell>
          <cell r="D406">
            <v>0</v>
          </cell>
          <cell r="E406">
            <v>2810</v>
          </cell>
          <cell r="F406">
            <v>2875</v>
          </cell>
          <cell r="G406">
            <v>2930</v>
          </cell>
          <cell r="H406">
            <v>2950</v>
          </cell>
          <cell r="I406">
            <v>2890</v>
          </cell>
          <cell r="J406">
            <v>2915</v>
          </cell>
          <cell r="K406">
            <v>2980</v>
          </cell>
          <cell r="L406">
            <v>2900</v>
          </cell>
          <cell r="M406">
            <v>2855</v>
          </cell>
          <cell r="N406">
            <v>2790</v>
          </cell>
        </row>
        <row r="407">
          <cell r="A407" t="str">
            <v>METR</v>
          </cell>
          <cell r="B407" t="str">
            <v>METRARS</v>
          </cell>
          <cell r="C407">
            <v>0</v>
          </cell>
          <cell r="D407">
            <v>0</v>
          </cell>
          <cell r="E407">
            <v>2280</v>
          </cell>
          <cell r="F407">
            <v>2287</v>
          </cell>
          <cell r="G407">
            <v>2327</v>
          </cell>
          <cell r="H407">
            <v>2296</v>
          </cell>
          <cell r="I407">
            <v>2372</v>
          </cell>
          <cell r="J407">
            <v>2409</v>
          </cell>
          <cell r="K407">
            <v>2379</v>
          </cell>
          <cell r="L407">
            <v>2358</v>
          </cell>
          <cell r="M407">
            <v>2335</v>
          </cell>
          <cell r="N407">
            <v>2351</v>
          </cell>
        </row>
        <row r="408">
          <cell r="A408" t="str">
            <v>ECOG</v>
          </cell>
          <cell r="B408" t="str">
            <v>ECOGARS</v>
          </cell>
          <cell r="C408">
            <v>0</v>
          </cell>
          <cell r="D408">
            <v>0</v>
          </cell>
          <cell r="E408">
            <v>2420</v>
          </cell>
          <cell r="F408">
            <v>2429</v>
          </cell>
          <cell r="G408">
            <v>2510</v>
          </cell>
          <cell r="H408">
            <v>2522.5</v>
          </cell>
          <cell r="I408">
            <v>2485</v>
          </cell>
          <cell r="J408">
            <v>2448</v>
          </cell>
          <cell r="K408">
            <v>2482</v>
          </cell>
          <cell r="L408">
            <v>2433</v>
          </cell>
          <cell r="M408">
            <v>2391</v>
          </cell>
          <cell r="N408">
            <v>2380</v>
          </cell>
        </row>
        <row r="409">
          <cell r="A409" t="str">
            <v>COME</v>
          </cell>
          <cell r="B409" t="str">
            <v>COMEARS</v>
          </cell>
          <cell r="C409">
            <v>0</v>
          </cell>
          <cell r="D409">
            <v>0</v>
          </cell>
          <cell r="E409">
            <v>38.93</v>
          </cell>
          <cell r="F409">
            <v>38.96</v>
          </cell>
          <cell r="G409">
            <v>39.99</v>
          </cell>
          <cell r="H409">
            <v>39.79</v>
          </cell>
          <cell r="I409">
            <v>38.92</v>
          </cell>
          <cell r="J409">
            <v>39.03</v>
          </cell>
          <cell r="K409">
            <v>39.01</v>
          </cell>
          <cell r="L409">
            <v>39.07</v>
          </cell>
          <cell r="M409">
            <v>38.43</v>
          </cell>
          <cell r="N409">
            <v>38.28</v>
          </cell>
        </row>
        <row r="410">
          <cell r="A410" t="str">
            <v>MIRG</v>
          </cell>
          <cell r="B410" t="str">
            <v>MIRGARS</v>
          </cell>
          <cell r="C410">
            <v>0</v>
          </cell>
          <cell r="D410">
            <v>0</v>
          </cell>
          <cell r="E410">
            <v>1675</v>
          </cell>
          <cell r="F410">
            <v>1720</v>
          </cell>
          <cell r="G410">
            <v>1725</v>
          </cell>
          <cell r="H410">
            <v>1765</v>
          </cell>
          <cell r="I410">
            <v>1835</v>
          </cell>
          <cell r="J410">
            <v>1805</v>
          </cell>
          <cell r="K410">
            <v>1770</v>
          </cell>
          <cell r="L410">
            <v>1740</v>
          </cell>
          <cell r="M410">
            <v>1745</v>
          </cell>
          <cell r="N410">
            <v>1710</v>
          </cell>
        </row>
        <row r="411">
          <cell r="A411" t="str">
            <v>CVH</v>
          </cell>
          <cell r="B411" t="str">
            <v>CVHARS</v>
          </cell>
          <cell r="C411">
            <v>0</v>
          </cell>
          <cell r="D411">
            <v>0</v>
          </cell>
          <cell r="E411">
            <v>9260</v>
          </cell>
          <cell r="F411">
            <v>9260</v>
          </cell>
          <cell r="G411">
            <v>9310</v>
          </cell>
          <cell r="H411">
            <v>9250</v>
          </cell>
          <cell r="I411">
            <v>9210</v>
          </cell>
          <cell r="J411">
            <v>9300</v>
          </cell>
          <cell r="K411">
            <v>9290</v>
          </cell>
          <cell r="L411">
            <v>9260</v>
          </cell>
          <cell r="M411">
            <v>9250</v>
          </cell>
          <cell r="N411">
            <v>9220</v>
          </cell>
        </row>
        <row r="412">
          <cell r="A412" t="str">
            <v>TRAN</v>
          </cell>
          <cell r="B412" t="str">
            <v>TRANARS</v>
          </cell>
          <cell r="C412">
            <v>0</v>
          </cell>
          <cell r="D412">
            <v>0</v>
          </cell>
          <cell r="E412">
            <v>3007.5</v>
          </cell>
          <cell r="F412">
            <v>2967.5</v>
          </cell>
          <cell r="G412">
            <v>2927.5</v>
          </cell>
          <cell r="H412">
            <v>2842.5</v>
          </cell>
          <cell r="I412">
            <v>2742.5</v>
          </cell>
          <cell r="J412">
            <v>2770</v>
          </cell>
          <cell r="K412">
            <v>2777.5</v>
          </cell>
          <cell r="L412">
            <v>2705</v>
          </cell>
          <cell r="M412">
            <v>2682.5</v>
          </cell>
          <cell r="N412">
            <v>2700</v>
          </cell>
        </row>
        <row r="413">
          <cell r="A413" t="str">
            <v>HARG</v>
          </cell>
          <cell r="B413" t="str">
            <v>HARGARS</v>
          </cell>
          <cell r="C413">
            <v>0</v>
          </cell>
          <cell r="D413">
            <v>0</v>
          </cell>
          <cell r="E413">
            <v>1250</v>
          </cell>
          <cell r="F413">
            <v>1270</v>
          </cell>
          <cell r="G413">
            <v>1305</v>
          </cell>
          <cell r="H413">
            <v>1350</v>
          </cell>
          <cell r="I413">
            <v>1315</v>
          </cell>
          <cell r="J413">
            <v>1335</v>
          </cell>
          <cell r="K413">
            <v>1335</v>
          </cell>
          <cell r="L413">
            <v>1330</v>
          </cell>
          <cell r="M413">
            <v>1340</v>
          </cell>
          <cell r="N413">
            <v>1320</v>
          </cell>
        </row>
        <row r="414">
          <cell r="A414" t="str">
            <v>EDN</v>
          </cell>
          <cell r="B414" t="str">
            <v>EDNARS</v>
          </cell>
          <cell r="C414">
            <v>0</v>
          </cell>
          <cell r="D414">
            <v>0</v>
          </cell>
          <cell r="E414">
            <v>1629</v>
          </cell>
          <cell r="F414">
            <v>1616</v>
          </cell>
          <cell r="G414">
            <v>1683</v>
          </cell>
          <cell r="H414">
            <v>1667</v>
          </cell>
          <cell r="I414">
            <v>1635</v>
          </cell>
          <cell r="J414">
            <v>1622</v>
          </cell>
          <cell r="K414">
            <v>1627</v>
          </cell>
          <cell r="L414">
            <v>1653</v>
          </cell>
          <cell r="M414">
            <v>1660</v>
          </cell>
          <cell r="N414">
            <v>1672</v>
          </cell>
        </row>
        <row r="415">
          <cell r="A415" t="str">
            <v>MASU</v>
          </cell>
          <cell r="B415" t="str">
            <v>MASUARS</v>
          </cell>
          <cell r="C415">
            <v>0</v>
          </cell>
          <cell r="D415">
            <v>0</v>
          </cell>
          <cell r="E415">
            <v>0.01</v>
          </cell>
          <cell r="F415">
            <v>0.01</v>
          </cell>
          <cell r="G415">
            <v>0.01</v>
          </cell>
          <cell r="H415">
            <v>0.01</v>
          </cell>
          <cell r="I415">
            <v>0.01</v>
          </cell>
          <cell r="J415">
            <v>0.01</v>
          </cell>
          <cell r="K415">
            <v>0.01</v>
          </cell>
          <cell r="L415">
            <v>0.01</v>
          </cell>
          <cell r="M415">
            <v>0.01</v>
          </cell>
          <cell r="N415">
            <v>0.01</v>
          </cell>
        </row>
        <row r="416">
          <cell r="A416" t="str">
            <v>INVJ</v>
          </cell>
          <cell r="B416" t="str">
            <v>INVJARS</v>
          </cell>
          <cell r="C416">
            <v>0</v>
          </cell>
          <cell r="D416">
            <v>0</v>
          </cell>
          <cell r="E416">
            <v>383</v>
          </cell>
          <cell r="F416">
            <v>383.5</v>
          </cell>
          <cell r="G416">
            <v>390.5</v>
          </cell>
          <cell r="H416">
            <v>400</v>
          </cell>
          <cell r="I416">
            <v>396</v>
          </cell>
          <cell r="J416">
            <v>402</v>
          </cell>
          <cell r="K416">
            <v>394.5</v>
          </cell>
          <cell r="L416">
            <v>389.5</v>
          </cell>
          <cell r="M416">
            <v>388</v>
          </cell>
          <cell r="N416">
            <v>385.5</v>
          </cell>
        </row>
        <row r="417">
          <cell r="A417" t="str">
            <v>IRSA</v>
          </cell>
          <cell r="B417" t="str">
            <v>IRSAARS</v>
          </cell>
          <cell r="C417">
            <v>0</v>
          </cell>
          <cell r="D417">
            <v>0</v>
          </cell>
          <cell r="E417">
            <v>2140</v>
          </cell>
          <cell r="F417">
            <v>2175</v>
          </cell>
          <cell r="G417">
            <v>2255</v>
          </cell>
          <cell r="H417">
            <v>2305</v>
          </cell>
          <cell r="I417">
            <v>2270</v>
          </cell>
          <cell r="J417">
            <v>2230</v>
          </cell>
          <cell r="K417">
            <v>2205</v>
          </cell>
          <cell r="L417">
            <v>2290</v>
          </cell>
          <cell r="M417">
            <v>2225</v>
          </cell>
          <cell r="N417">
            <v>2270</v>
          </cell>
        </row>
        <row r="418">
          <cell r="A418" t="str">
            <v>DGCE</v>
          </cell>
          <cell r="B418" t="str">
            <v>DGCEARS</v>
          </cell>
          <cell r="C418">
            <v>0</v>
          </cell>
          <cell r="D418">
            <v>0</v>
          </cell>
          <cell r="E418">
            <v>1850</v>
          </cell>
          <cell r="F418">
            <v>1850</v>
          </cell>
          <cell r="G418">
            <v>1850</v>
          </cell>
          <cell r="H418">
            <v>1850</v>
          </cell>
          <cell r="I418">
            <v>1850</v>
          </cell>
          <cell r="J418">
            <v>1850</v>
          </cell>
          <cell r="K418">
            <v>1850</v>
          </cell>
          <cell r="L418">
            <v>1850</v>
          </cell>
          <cell r="M418">
            <v>1850</v>
          </cell>
          <cell r="N418">
            <v>1850</v>
          </cell>
        </row>
        <row r="419">
          <cell r="A419" t="str">
            <v>BHIP</v>
          </cell>
          <cell r="B419" t="str">
            <v>BHIPARS</v>
          </cell>
          <cell r="C419">
            <v>0</v>
          </cell>
          <cell r="D419">
            <v>0</v>
          </cell>
          <cell r="E419">
            <v>257.5</v>
          </cell>
          <cell r="F419">
            <v>260.5</v>
          </cell>
          <cell r="G419">
            <v>267.5</v>
          </cell>
          <cell r="H419">
            <v>265</v>
          </cell>
          <cell r="I419">
            <v>258</v>
          </cell>
          <cell r="J419">
            <v>254</v>
          </cell>
          <cell r="K419">
            <v>255</v>
          </cell>
          <cell r="L419">
            <v>259</v>
          </cell>
          <cell r="M419">
            <v>251</v>
          </cell>
          <cell r="N419">
            <v>253.5</v>
          </cell>
        </row>
        <row r="420">
          <cell r="A420"/>
          <cell r="B420"/>
          <cell r="C420"/>
          <cell r="D420"/>
        </row>
        <row r="421">
          <cell r="A421" t="str">
            <v>Cedears en pesos</v>
          </cell>
          <cell r="B421"/>
          <cell r="C421"/>
          <cell r="D421"/>
        </row>
        <row r="422">
          <cell r="A422"/>
          <cell r="B422"/>
          <cell r="C422"/>
          <cell r="D422"/>
        </row>
        <row r="423">
          <cell r="A423" t="str">
            <v>MELI</v>
          </cell>
          <cell r="B423" t="str">
            <v>MELIARS</v>
          </cell>
          <cell r="C423">
            <v>0</v>
          </cell>
          <cell r="D423">
            <v>0</v>
          </cell>
          <cell r="E423">
            <v>22840</v>
          </cell>
          <cell r="F423">
            <v>22990</v>
          </cell>
          <cell r="G423">
            <v>24920</v>
          </cell>
          <cell r="H423">
            <v>24880</v>
          </cell>
          <cell r="I423">
            <v>25120</v>
          </cell>
          <cell r="J423">
            <v>24910</v>
          </cell>
          <cell r="K423">
            <v>25360</v>
          </cell>
          <cell r="L423">
            <v>25220</v>
          </cell>
          <cell r="M423">
            <v>24690</v>
          </cell>
          <cell r="N423">
            <v>24970</v>
          </cell>
        </row>
        <row r="424">
          <cell r="A424" t="str">
            <v>NU</v>
          </cell>
          <cell r="B424" t="str">
            <v>NUARS</v>
          </cell>
          <cell r="C424">
            <v>0</v>
          </cell>
          <cell r="D424">
            <v>0</v>
          </cell>
          <cell r="E424">
            <v>10770</v>
          </cell>
          <cell r="F424">
            <v>10900</v>
          </cell>
          <cell r="G424">
            <v>12210</v>
          </cell>
          <cell r="H424">
            <v>12580</v>
          </cell>
          <cell r="I424">
            <v>12530</v>
          </cell>
          <cell r="J424">
            <v>12380</v>
          </cell>
          <cell r="K424">
            <v>12960</v>
          </cell>
          <cell r="L424">
            <v>12550</v>
          </cell>
          <cell r="M424">
            <v>11990</v>
          </cell>
          <cell r="N424">
            <v>11970</v>
          </cell>
        </row>
        <row r="425">
          <cell r="A425" t="str">
            <v>VALE</v>
          </cell>
          <cell r="B425" t="str">
            <v>VALEARS</v>
          </cell>
          <cell r="C425">
            <v>0</v>
          </cell>
          <cell r="D425">
            <v>0</v>
          </cell>
          <cell r="E425">
            <v>10960</v>
          </cell>
          <cell r="F425">
            <v>11160</v>
          </cell>
          <cell r="G425">
            <v>11410</v>
          </cell>
          <cell r="H425">
            <v>11390</v>
          </cell>
          <cell r="I425">
            <v>11000</v>
          </cell>
          <cell r="J425">
            <v>10850</v>
          </cell>
          <cell r="K425">
            <v>11010</v>
          </cell>
          <cell r="L425">
            <v>10800</v>
          </cell>
          <cell r="M425">
            <v>10710</v>
          </cell>
          <cell r="N425">
            <v>10540</v>
          </cell>
        </row>
        <row r="426">
          <cell r="A426" t="str">
            <v>BBDC3</v>
          </cell>
          <cell r="B426" t="str">
            <v>BBDC3ARS</v>
          </cell>
          <cell r="C426">
            <v>0</v>
          </cell>
          <cell r="D426">
            <v>0</v>
          </cell>
          <cell r="E426">
            <v>5130</v>
          </cell>
          <cell r="F426">
            <v>5210</v>
          </cell>
          <cell r="G426">
            <v>6190</v>
          </cell>
          <cell r="H426">
            <v>6110</v>
          </cell>
          <cell r="I426">
            <v>6085</v>
          </cell>
          <cell r="J426">
            <v>6050</v>
          </cell>
          <cell r="K426">
            <v>6305</v>
          </cell>
          <cell r="L426">
            <v>6100</v>
          </cell>
          <cell r="M426">
            <v>6100</v>
          </cell>
          <cell r="N426">
            <v>5995</v>
          </cell>
        </row>
        <row r="427">
          <cell r="A427" t="str">
            <v>VALE3</v>
          </cell>
          <cell r="B427" t="str">
            <v>VALE3ARS</v>
          </cell>
          <cell r="C427">
            <v>0</v>
          </cell>
          <cell r="D427">
            <v>0</v>
          </cell>
          <cell r="E427">
            <v>21740</v>
          </cell>
          <cell r="F427">
            <v>22430</v>
          </cell>
          <cell r="G427">
            <v>23200</v>
          </cell>
          <cell r="H427">
            <v>23070</v>
          </cell>
          <cell r="I427">
            <v>22150</v>
          </cell>
          <cell r="J427">
            <v>21720</v>
          </cell>
          <cell r="K427">
            <v>21850</v>
          </cell>
          <cell r="L427">
            <v>21610</v>
          </cell>
          <cell r="M427">
            <v>21350</v>
          </cell>
          <cell r="N427">
            <v>21080</v>
          </cell>
        </row>
        <row r="428">
          <cell r="A428" t="str">
            <v>ITUB3</v>
          </cell>
          <cell r="B428" t="str">
            <v>ITUB3ARS</v>
          </cell>
          <cell r="C428">
            <v>0</v>
          </cell>
          <cell r="D428">
            <v>0</v>
          </cell>
          <cell r="E428">
            <v>15390</v>
          </cell>
          <cell r="F428">
            <v>16370</v>
          </cell>
          <cell r="G428">
            <v>17420</v>
          </cell>
          <cell r="H428">
            <v>17860</v>
          </cell>
          <cell r="I428">
            <v>16480</v>
          </cell>
          <cell r="J428">
            <v>17090</v>
          </cell>
          <cell r="K428">
            <v>17420</v>
          </cell>
          <cell r="L428">
            <v>17400</v>
          </cell>
          <cell r="M428">
            <v>17070</v>
          </cell>
          <cell r="N428">
            <v>18320</v>
          </cell>
        </row>
        <row r="429">
          <cell r="A429" t="str">
            <v>PETR3</v>
          </cell>
          <cell r="B429" t="str">
            <v>PETR3ARS</v>
          </cell>
          <cell r="C429">
            <v>0</v>
          </cell>
          <cell r="D429">
            <v>0</v>
          </cell>
          <cell r="E429">
            <v>17150</v>
          </cell>
          <cell r="F429">
            <v>17520</v>
          </cell>
          <cell r="G429">
            <v>19450</v>
          </cell>
          <cell r="H429">
            <v>19330</v>
          </cell>
          <cell r="I429">
            <v>19390</v>
          </cell>
          <cell r="J429">
            <v>19990</v>
          </cell>
          <cell r="K429">
            <v>20700</v>
          </cell>
          <cell r="L429">
            <v>20480</v>
          </cell>
          <cell r="M429">
            <v>20890</v>
          </cell>
          <cell r="N429">
            <v>20780</v>
          </cell>
        </row>
        <row r="430">
          <cell r="A430" t="str">
            <v>SUZB3</v>
          </cell>
          <cell r="B430" t="str">
            <v>SUZB3ARS</v>
          </cell>
          <cell r="C430">
            <v>0</v>
          </cell>
          <cell r="D430">
            <v>0</v>
          </cell>
          <cell r="E430">
            <v>13930</v>
          </cell>
          <cell r="F430">
            <v>13820</v>
          </cell>
          <cell r="G430">
            <v>13450</v>
          </cell>
          <cell r="H430">
            <v>13500</v>
          </cell>
          <cell r="I430">
            <v>13500</v>
          </cell>
          <cell r="J430">
            <v>13500</v>
          </cell>
          <cell r="K430">
            <v>13660</v>
          </cell>
          <cell r="L430">
            <v>13950</v>
          </cell>
          <cell r="M430">
            <v>13830</v>
          </cell>
          <cell r="N430">
            <v>13590</v>
          </cell>
        </row>
        <row r="431">
          <cell r="A431" t="str">
            <v>SBSP3</v>
          </cell>
          <cell r="B431" t="str">
            <v>SBSP3ARS</v>
          </cell>
          <cell r="C431">
            <v>0</v>
          </cell>
          <cell r="D431">
            <v>0</v>
          </cell>
          <cell r="E431">
            <v>8445</v>
          </cell>
          <cell r="F431">
            <v>8790</v>
          </cell>
          <cell r="G431">
            <v>10100</v>
          </cell>
          <cell r="H431">
            <v>10240</v>
          </cell>
          <cell r="I431">
            <v>10390</v>
          </cell>
          <cell r="J431">
            <v>10390</v>
          </cell>
          <cell r="K431">
            <v>10970</v>
          </cell>
          <cell r="L431">
            <v>10520</v>
          </cell>
          <cell r="M431">
            <v>10540</v>
          </cell>
          <cell r="N431">
            <v>10280</v>
          </cell>
        </row>
        <row r="432">
          <cell r="A432" t="str">
            <v>ABEV3</v>
          </cell>
          <cell r="B432" t="str">
            <v>ABEV3ARS</v>
          </cell>
          <cell r="C432">
            <v>0</v>
          </cell>
          <cell r="D432">
            <v>0</v>
          </cell>
          <cell r="E432">
            <v>4702.5</v>
          </cell>
          <cell r="F432">
            <v>4810</v>
          </cell>
          <cell r="G432">
            <v>5270</v>
          </cell>
          <cell r="H432">
            <v>5300</v>
          </cell>
          <cell r="I432">
            <v>5130</v>
          </cell>
          <cell r="J432">
            <v>5115</v>
          </cell>
          <cell r="K432">
            <v>5105</v>
          </cell>
          <cell r="L432">
            <v>5175</v>
          </cell>
          <cell r="M432">
            <v>5320</v>
          </cell>
          <cell r="N432">
            <v>5290</v>
          </cell>
        </row>
        <row r="433">
          <cell r="A433" t="str">
            <v>MSFT</v>
          </cell>
          <cell r="B433" t="str">
            <v>MSFTARS</v>
          </cell>
          <cell r="C433">
            <v>0</v>
          </cell>
          <cell r="D433">
            <v>0</v>
          </cell>
          <cell r="E433">
            <v>27820</v>
          </cell>
          <cell r="F433">
            <v>27960</v>
          </cell>
          <cell r="G433">
            <v>28120</v>
          </cell>
          <cell r="H433">
            <v>28460</v>
          </cell>
          <cell r="I433">
            <v>28440</v>
          </cell>
          <cell r="J433">
            <v>28100</v>
          </cell>
          <cell r="K433">
            <v>28780</v>
          </cell>
          <cell r="L433">
            <v>29200</v>
          </cell>
          <cell r="M433">
            <v>28700</v>
          </cell>
          <cell r="N433">
            <v>29060</v>
          </cell>
        </row>
        <row r="434">
          <cell r="A434" t="str">
            <v>GOOGL</v>
          </cell>
          <cell r="B434" t="str">
            <v>GOOGLARS</v>
          </cell>
          <cell r="C434">
            <v>0</v>
          </cell>
          <cell r="D434">
            <v>0</v>
          </cell>
          <cell r="E434">
            <v>9495</v>
          </cell>
          <cell r="F434">
            <v>9635</v>
          </cell>
          <cell r="G434">
            <v>9610</v>
          </cell>
          <cell r="H434">
            <v>9675</v>
          </cell>
          <cell r="I434">
            <v>9760</v>
          </cell>
          <cell r="J434">
            <v>9700</v>
          </cell>
          <cell r="K434">
            <v>9810</v>
          </cell>
          <cell r="L434">
            <v>9870</v>
          </cell>
          <cell r="M434">
            <v>9715</v>
          </cell>
          <cell r="N434">
            <v>9755</v>
          </cell>
        </row>
        <row r="435">
          <cell r="A435" t="str">
            <v>META</v>
          </cell>
          <cell r="B435" t="str">
            <v>METAARS</v>
          </cell>
          <cell r="C435">
            <v>0</v>
          </cell>
          <cell r="D435">
            <v>0</v>
          </cell>
          <cell r="E435">
            <v>49100</v>
          </cell>
          <cell r="F435">
            <v>49220</v>
          </cell>
          <cell r="G435">
            <v>49660</v>
          </cell>
          <cell r="H435">
            <v>49700</v>
          </cell>
          <cell r="I435">
            <v>48440</v>
          </cell>
          <cell r="J435">
            <v>48400</v>
          </cell>
          <cell r="K435">
            <v>48400</v>
          </cell>
          <cell r="L435">
            <v>51250</v>
          </cell>
          <cell r="M435">
            <v>49680</v>
          </cell>
          <cell r="N435">
            <v>49640</v>
          </cell>
        </row>
        <row r="436">
          <cell r="A436" t="str">
            <v>ITUB</v>
          </cell>
          <cell r="B436" t="str">
            <v>ITUBARS</v>
          </cell>
          <cell r="C436">
            <v>0</v>
          </cell>
          <cell r="D436">
            <v>0</v>
          </cell>
          <cell r="E436">
            <v>13660</v>
          </cell>
          <cell r="F436">
            <v>13930</v>
          </cell>
          <cell r="G436">
            <v>15940</v>
          </cell>
          <cell r="H436">
            <v>16390</v>
          </cell>
          <cell r="I436">
            <v>15630</v>
          </cell>
          <cell r="J436">
            <v>15900</v>
          </cell>
          <cell r="K436">
            <v>16460</v>
          </cell>
          <cell r="L436">
            <v>15980</v>
          </cell>
          <cell r="M436">
            <v>15640</v>
          </cell>
          <cell r="N436">
            <v>15370</v>
          </cell>
        </row>
        <row r="437">
          <cell r="A437" t="str">
            <v>SMH</v>
          </cell>
          <cell r="B437" t="str">
            <v>SMHARS</v>
          </cell>
          <cell r="C437">
            <v>0</v>
          </cell>
          <cell r="D437">
            <v>0</v>
          </cell>
          <cell r="F437">
            <v>20490</v>
          </cell>
          <cell r="G437">
            <v>20390</v>
          </cell>
          <cell r="H437">
            <v>20380</v>
          </cell>
          <cell r="I437">
            <v>20160</v>
          </cell>
          <cell r="J437">
            <v>19560</v>
          </cell>
          <cell r="K437">
            <v>19480</v>
          </cell>
          <cell r="L437">
            <v>18930</v>
          </cell>
          <cell r="M437">
            <v>18320</v>
          </cell>
          <cell r="N437">
            <v>18080</v>
          </cell>
        </row>
        <row r="438">
          <cell r="A438" t="str">
            <v>PBR</v>
          </cell>
          <cell r="B438" t="str">
            <v>PBRARS</v>
          </cell>
          <cell r="C438">
            <v>0</v>
          </cell>
          <cell r="D438">
            <v>0</v>
          </cell>
          <cell r="E438">
            <v>34160</v>
          </cell>
          <cell r="F438">
            <v>35140</v>
          </cell>
          <cell r="G438">
            <v>38780</v>
          </cell>
          <cell r="H438">
            <v>38300</v>
          </cell>
          <cell r="I438">
            <v>38680</v>
          </cell>
          <cell r="J438">
            <v>39860</v>
          </cell>
          <cell r="K438">
            <v>40800</v>
          </cell>
          <cell r="L438">
            <v>40980</v>
          </cell>
          <cell r="M438">
            <v>41800</v>
          </cell>
          <cell r="N438">
            <v>40840</v>
          </cell>
        </row>
        <row r="439">
          <cell r="A439" t="str">
            <v>VIST</v>
          </cell>
          <cell r="B439" t="str">
            <v>VISTARS</v>
          </cell>
          <cell r="C439">
            <v>0</v>
          </cell>
          <cell r="D439">
            <v>0</v>
          </cell>
          <cell r="E439">
            <v>35120</v>
          </cell>
          <cell r="F439">
            <v>34820</v>
          </cell>
          <cell r="G439">
            <v>35640</v>
          </cell>
          <cell r="H439">
            <v>35520</v>
          </cell>
          <cell r="I439">
            <v>35280</v>
          </cell>
          <cell r="J439">
            <v>36220</v>
          </cell>
          <cell r="K439">
            <v>35660</v>
          </cell>
          <cell r="L439">
            <v>37120</v>
          </cell>
          <cell r="M439">
            <v>37700</v>
          </cell>
          <cell r="N439">
            <v>37760</v>
          </cell>
        </row>
        <row r="440">
          <cell r="A440"/>
          <cell r="B440"/>
          <cell r="C440"/>
          <cell r="D440"/>
        </row>
        <row r="441">
          <cell r="A441" t="str">
            <v>Acciones y cedears en USD</v>
          </cell>
          <cell r="B441"/>
          <cell r="C441"/>
          <cell r="D441"/>
        </row>
        <row r="442">
          <cell r="A442"/>
          <cell r="B442"/>
          <cell r="C442"/>
          <cell r="D442"/>
        </row>
        <row r="443">
          <cell r="A443" t="str">
            <v>YPFDD</v>
          </cell>
          <cell r="B443" t="str">
            <v>YPFDDARS</v>
          </cell>
          <cell r="C443">
            <v>0</v>
          </cell>
          <cell r="D443">
            <v>0</v>
          </cell>
          <cell r="E443">
            <v>5.15</v>
          </cell>
          <cell r="F443">
            <v>5.21</v>
          </cell>
          <cell r="G443">
            <v>5.34</v>
          </cell>
          <cell r="H443">
            <v>5.34</v>
          </cell>
          <cell r="I443">
            <v>5.21</v>
          </cell>
          <cell r="J443">
            <v>5.25</v>
          </cell>
          <cell r="K443">
            <v>5.23</v>
          </cell>
          <cell r="L443">
            <v>5.43</v>
          </cell>
          <cell r="M443">
            <v>5.51</v>
          </cell>
          <cell r="N443">
            <v>5.38</v>
          </cell>
        </row>
        <row r="444">
          <cell r="A444" t="str">
            <v>VALOD</v>
          </cell>
          <cell r="B444" t="str">
            <v>VALODARS</v>
          </cell>
          <cell r="C444">
            <v>0</v>
          </cell>
          <cell r="D444">
            <v>0</v>
          </cell>
          <cell r="E444">
            <v>0.34599999999999997</v>
          </cell>
          <cell r="F444">
            <v>0.34599999999999997</v>
          </cell>
          <cell r="G444">
            <v>0.35399999999999998</v>
          </cell>
          <cell r="H444">
            <v>0.36699999999999999</v>
          </cell>
          <cell r="I444">
            <v>0.35399999999999998</v>
          </cell>
          <cell r="J444">
            <v>0.34899999999999998</v>
          </cell>
          <cell r="K444">
            <v>0.35199999999999998</v>
          </cell>
          <cell r="L444">
            <v>0.34899999999999998</v>
          </cell>
          <cell r="M444">
            <v>0.34599999999999997</v>
          </cell>
          <cell r="N444">
            <v>0.34300000000000003</v>
          </cell>
        </row>
        <row r="445">
          <cell r="A445" t="str">
            <v>LOMAD</v>
          </cell>
          <cell r="B445" t="str">
            <v>LOMADARS</v>
          </cell>
          <cell r="C445">
            <v>0</v>
          </cell>
          <cell r="D445">
            <v>0</v>
          </cell>
          <cell r="E445">
            <v>1.895</v>
          </cell>
          <cell r="F445">
            <v>1.915</v>
          </cell>
          <cell r="G445">
            <v>2.0299999999999998</v>
          </cell>
          <cell r="H445">
            <v>2.0099999999999998</v>
          </cell>
          <cell r="I445">
            <v>1.99</v>
          </cell>
          <cell r="J445">
            <v>2.08</v>
          </cell>
          <cell r="K445">
            <v>2.1150000000000002</v>
          </cell>
          <cell r="L445">
            <v>2.085</v>
          </cell>
          <cell r="M445">
            <v>2.085</v>
          </cell>
          <cell r="N445">
            <v>2.1349999999999998</v>
          </cell>
        </row>
        <row r="446">
          <cell r="A446" t="str">
            <v>PAMPD</v>
          </cell>
          <cell r="B446" t="str">
            <v>PAMPARS</v>
          </cell>
          <cell r="C446">
            <v>0</v>
          </cell>
          <cell r="D446">
            <v>0</v>
          </cell>
          <cell r="E446">
            <v>3.1949999999999998</v>
          </cell>
          <cell r="F446">
            <v>3.2149999999999999</v>
          </cell>
          <cell r="G446">
            <v>3.335</v>
          </cell>
          <cell r="H446">
            <v>3.42</v>
          </cell>
          <cell r="I446">
            <v>3.3450000000000002</v>
          </cell>
          <cell r="J446">
            <v>3.38</v>
          </cell>
          <cell r="K446">
            <v>3.34</v>
          </cell>
          <cell r="L446">
            <v>3.4</v>
          </cell>
          <cell r="M446">
            <v>3.39</v>
          </cell>
          <cell r="N446">
            <v>3.4</v>
          </cell>
        </row>
        <row r="447">
          <cell r="A447" t="str">
            <v>EDND</v>
          </cell>
          <cell r="B447" t="str">
            <v>EDNDARS</v>
          </cell>
          <cell r="C447">
            <v>0</v>
          </cell>
          <cell r="D447">
            <v>0</v>
          </cell>
          <cell r="E447">
            <v>1.06</v>
          </cell>
          <cell r="F447">
            <v>1.05</v>
          </cell>
          <cell r="G447">
            <v>1.08</v>
          </cell>
          <cell r="H447">
            <v>1.08</v>
          </cell>
          <cell r="I447">
            <v>1.07</v>
          </cell>
          <cell r="J447">
            <v>1.0549999999999999</v>
          </cell>
          <cell r="K447">
            <v>1.06</v>
          </cell>
          <cell r="L447">
            <v>1.085</v>
          </cell>
          <cell r="M447">
            <v>1.07</v>
          </cell>
          <cell r="N447">
            <v>1.0900000000000001</v>
          </cell>
        </row>
        <row r="448">
          <cell r="A448" t="str">
            <v>BBARD</v>
          </cell>
          <cell r="B448" t="str">
            <v>BBARDARS</v>
          </cell>
          <cell r="C448">
            <v>0</v>
          </cell>
          <cell r="D448">
            <v>0</v>
          </cell>
          <cell r="E448">
            <v>4.3550000000000004</v>
          </cell>
          <cell r="F448">
            <v>4.3600000000000003</v>
          </cell>
          <cell r="G448">
            <v>4.68</v>
          </cell>
          <cell r="H448">
            <v>4.82</v>
          </cell>
          <cell r="I448">
            <v>4.54</v>
          </cell>
          <cell r="J448">
            <v>4.4349999999999996</v>
          </cell>
          <cell r="K448">
            <v>4.43</v>
          </cell>
          <cell r="L448">
            <v>4.5350000000000001</v>
          </cell>
          <cell r="M448">
            <v>4.4050000000000002</v>
          </cell>
          <cell r="N448">
            <v>4.5449999999999999</v>
          </cell>
        </row>
        <row r="449">
          <cell r="A449" t="str">
            <v>GGALD</v>
          </cell>
          <cell r="B449" t="str">
            <v>GGALDARS</v>
          </cell>
          <cell r="C449">
            <v>0</v>
          </cell>
          <cell r="D449">
            <v>0</v>
          </cell>
          <cell r="E449">
            <v>3.83</v>
          </cell>
          <cell r="F449">
            <v>3.7749999999999999</v>
          </cell>
          <cell r="G449">
            <v>4</v>
          </cell>
          <cell r="H449">
            <v>4</v>
          </cell>
          <cell r="I449">
            <v>3.9</v>
          </cell>
          <cell r="J449">
            <v>3.87</v>
          </cell>
          <cell r="K449">
            <v>3.87</v>
          </cell>
          <cell r="L449">
            <v>3.87</v>
          </cell>
          <cell r="M449">
            <v>3.75</v>
          </cell>
          <cell r="N449">
            <v>3.84</v>
          </cell>
        </row>
        <row r="450">
          <cell r="A450" t="str">
            <v>SUPVD</v>
          </cell>
          <cell r="B450"/>
          <cell r="C450"/>
          <cell r="D450"/>
          <cell r="E450">
            <v>1.4450000000000001</v>
          </cell>
          <cell r="F450">
            <v>1.46</v>
          </cell>
          <cell r="G450">
            <v>1.56</v>
          </cell>
          <cell r="H450">
            <v>1.57</v>
          </cell>
          <cell r="I450">
            <v>1.5249999999999999</v>
          </cell>
          <cell r="J450">
            <v>1.4950000000000001</v>
          </cell>
          <cell r="K450">
            <v>1.51</v>
          </cell>
          <cell r="L450">
            <v>1.5349999999999999</v>
          </cell>
          <cell r="M450">
            <v>1.4850000000000001</v>
          </cell>
          <cell r="N450">
            <v>1.55</v>
          </cell>
        </row>
        <row r="451">
          <cell r="A451" t="str">
            <v>VALED</v>
          </cell>
          <cell r="B451" t="str">
            <v>VALEDUSM</v>
          </cell>
          <cell r="C451">
            <v>0</v>
          </cell>
          <cell r="D451">
            <v>0</v>
          </cell>
          <cell r="E451">
            <v>7.08</v>
          </cell>
          <cell r="F451">
            <v>7.22</v>
          </cell>
          <cell r="G451">
            <v>7.42</v>
          </cell>
          <cell r="H451">
            <v>7.39</v>
          </cell>
          <cell r="I451">
            <v>7.15</v>
          </cell>
          <cell r="J451">
            <v>7.09</v>
          </cell>
          <cell r="K451">
            <v>7.17</v>
          </cell>
          <cell r="L451">
            <v>7.04</v>
          </cell>
          <cell r="M451">
            <v>6.95</v>
          </cell>
          <cell r="N451">
            <v>6.87</v>
          </cell>
        </row>
        <row r="452">
          <cell r="A452" t="str">
            <v>PBRD</v>
          </cell>
          <cell r="B452" t="str">
            <v>PBRDUSM</v>
          </cell>
          <cell r="C452">
            <v>0</v>
          </cell>
          <cell r="D452">
            <v>0</v>
          </cell>
          <cell r="E452">
            <v>22</v>
          </cell>
          <cell r="F452">
            <v>22.7</v>
          </cell>
          <cell r="G452">
            <v>25.05</v>
          </cell>
          <cell r="H452">
            <v>24.83</v>
          </cell>
          <cell r="I452">
            <v>25.16</v>
          </cell>
          <cell r="J452">
            <v>25.92</v>
          </cell>
          <cell r="K452">
            <v>26.3</v>
          </cell>
          <cell r="L452">
            <v>26.69</v>
          </cell>
          <cell r="M452">
            <v>27.27</v>
          </cell>
          <cell r="N452">
            <v>26.61</v>
          </cell>
        </row>
        <row r="453">
          <cell r="A453" t="str">
            <v>PAGSD</v>
          </cell>
          <cell r="B453" t="str">
            <v>PAGSDARS</v>
          </cell>
          <cell r="C453">
            <v>0</v>
          </cell>
          <cell r="D453">
            <v>0</v>
          </cell>
          <cell r="E453">
            <v>3.13</v>
          </cell>
          <cell r="F453">
            <v>3.1349999999999998</v>
          </cell>
          <cell r="G453">
            <v>3.8</v>
          </cell>
          <cell r="H453">
            <v>3.7749999999999999</v>
          </cell>
          <cell r="I453">
            <v>3.6850000000000001</v>
          </cell>
          <cell r="J453">
            <v>3.7</v>
          </cell>
          <cell r="K453">
            <v>3.8650000000000002</v>
          </cell>
          <cell r="L453">
            <v>3.855</v>
          </cell>
          <cell r="M453">
            <v>3.7749999999999999</v>
          </cell>
          <cell r="N453">
            <v>3.88</v>
          </cell>
        </row>
        <row r="454">
          <cell r="A454" t="str">
            <v>VISTD</v>
          </cell>
          <cell r="B454" t="str">
            <v>VISTDARS</v>
          </cell>
          <cell r="C454">
            <v>0</v>
          </cell>
          <cell r="D454">
            <v>0</v>
          </cell>
          <cell r="E454">
            <v>22.64</v>
          </cell>
          <cell r="F454">
            <v>22.51</v>
          </cell>
          <cell r="G454">
            <v>23.24</v>
          </cell>
          <cell r="H454">
            <v>23.15</v>
          </cell>
          <cell r="I454">
            <v>23.03</v>
          </cell>
          <cell r="J454">
            <v>23.61</v>
          </cell>
          <cell r="K454">
            <v>23.27</v>
          </cell>
          <cell r="L454">
            <v>24.21</v>
          </cell>
          <cell r="M454">
            <v>24.48</v>
          </cell>
          <cell r="N454">
            <v>24.63</v>
          </cell>
        </row>
        <row r="455">
          <cell r="A455" t="str">
            <v>BBDD</v>
          </cell>
          <cell r="B455" t="str">
            <v>BBDDARS</v>
          </cell>
          <cell r="C455">
            <v>0</v>
          </cell>
          <cell r="D455">
            <v>0</v>
          </cell>
          <cell r="E455">
            <v>3.6949999999999998</v>
          </cell>
          <cell r="F455">
            <v>3.85</v>
          </cell>
          <cell r="G455">
            <v>4.5</v>
          </cell>
          <cell r="H455">
            <v>4.7149999999999999</v>
          </cell>
          <cell r="I455">
            <v>4.54</v>
          </cell>
          <cell r="J455">
            <v>4.4800000000000004</v>
          </cell>
          <cell r="K455">
            <v>4.53</v>
          </cell>
          <cell r="L455">
            <v>4.3899999999999997</v>
          </cell>
          <cell r="M455">
            <v>4.33</v>
          </cell>
          <cell r="N455">
            <v>4.2300000000000004</v>
          </cell>
        </row>
        <row r="456">
          <cell r="A456" t="str">
            <v>SIDD</v>
          </cell>
          <cell r="B456" t="str">
            <v>SIDDARS</v>
          </cell>
          <cell r="C456">
            <v>0</v>
          </cell>
          <cell r="D456">
            <v>0</v>
          </cell>
          <cell r="E456">
            <v>9.36</v>
          </cell>
          <cell r="F456">
            <v>9.57</v>
          </cell>
          <cell r="G456">
            <v>10.35</v>
          </cell>
          <cell r="H456">
            <v>10.31</v>
          </cell>
          <cell r="I456">
            <v>10.3</v>
          </cell>
          <cell r="J456">
            <v>10.62</v>
          </cell>
          <cell r="K456">
            <v>10.68</v>
          </cell>
          <cell r="L456">
            <v>10.6</v>
          </cell>
          <cell r="M456">
            <v>9.99</v>
          </cell>
          <cell r="N456">
            <v>9.7799999999999994</v>
          </cell>
        </row>
        <row r="457">
          <cell r="A457"/>
          <cell r="B457"/>
          <cell r="C457"/>
          <cell r="D457"/>
        </row>
        <row r="458">
          <cell r="A458" t="str">
            <v>ADR</v>
          </cell>
          <cell r="B458"/>
          <cell r="C458"/>
          <cell r="D458"/>
        </row>
        <row r="459">
          <cell r="A459"/>
          <cell r="B459"/>
          <cell r="C459"/>
          <cell r="D459"/>
        </row>
        <row r="460">
          <cell r="A460" t="str">
            <v>BBD US</v>
          </cell>
          <cell r="B460" t="str">
            <v>BBD US</v>
          </cell>
          <cell r="C460">
            <v>0</v>
          </cell>
          <cell r="D460">
            <v>0</v>
          </cell>
          <cell r="E460">
            <v>3.51</v>
          </cell>
          <cell r="F460">
            <v>3.65</v>
          </cell>
          <cell r="G460">
            <v>4.33</v>
          </cell>
          <cell r="H460">
            <v>4.51</v>
          </cell>
          <cell r="I460">
            <v>4.34</v>
          </cell>
          <cell r="J460">
            <v>4.24</v>
          </cell>
          <cell r="K460">
            <v>4.3</v>
          </cell>
          <cell r="L460">
            <v>4.1900000000000004</v>
          </cell>
          <cell r="M460">
            <v>4.1399999999999997</v>
          </cell>
          <cell r="N460">
            <v>4.03</v>
          </cell>
        </row>
        <row r="461">
          <cell r="A461" t="str">
            <v>PAGS US</v>
          </cell>
          <cell r="B461" t="str">
            <v>PAGS US</v>
          </cell>
          <cell r="C461">
            <v>0</v>
          </cell>
          <cell r="D461">
            <v>0</v>
          </cell>
          <cell r="E461">
            <v>8.8699999999999992</v>
          </cell>
          <cell r="F461">
            <v>9.02</v>
          </cell>
          <cell r="G461">
            <v>10.95</v>
          </cell>
          <cell r="H461">
            <v>10.72</v>
          </cell>
          <cell r="I461">
            <v>10.51</v>
          </cell>
          <cell r="J461">
            <v>10.68</v>
          </cell>
          <cell r="K461">
            <v>11.16</v>
          </cell>
          <cell r="L461">
            <v>10.99</v>
          </cell>
          <cell r="M461">
            <v>10.83</v>
          </cell>
          <cell r="N461">
            <v>11.12</v>
          </cell>
        </row>
        <row r="462">
          <cell r="A462" t="str">
            <v>NIO US</v>
          </cell>
          <cell r="B462" t="str">
            <v>NIO US</v>
          </cell>
          <cell r="C462">
            <v>0</v>
          </cell>
          <cell r="D462">
            <v>0</v>
          </cell>
          <cell r="E462">
            <v>3.4</v>
          </cell>
          <cell r="F462">
            <v>3.37</v>
          </cell>
          <cell r="G462">
            <v>3.42</v>
          </cell>
          <cell r="H462">
            <v>3.48</v>
          </cell>
          <cell r="I462">
            <v>3.54</v>
          </cell>
          <cell r="J462">
            <v>3.41</v>
          </cell>
          <cell r="K462">
            <v>3.58</v>
          </cell>
          <cell r="L462">
            <v>3.56</v>
          </cell>
          <cell r="M462">
            <v>3.41</v>
          </cell>
          <cell r="N462">
            <v>3.5</v>
          </cell>
        </row>
        <row r="463">
          <cell r="A463" t="str">
            <v>JD US</v>
          </cell>
          <cell r="B463" t="str">
            <v>JD US</v>
          </cell>
          <cell r="C463">
            <v>0</v>
          </cell>
          <cell r="D463">
            <v>0</v>
          </cell>
          <cell r="E463">
            <v>26.37</v>
          </cell>
          <cell r="F463">
            <v>25.78</v>
          </cell>
          <cell r="G463">
            <v>26.36</v>
          </cell>
          <cell r="H463">
            <v>26.5</v>
          </cell>
          <cell r="I463">
            <v>27.03</v>
          </cell>
          <cell r="J463">
            <v>26.91</v>
          </cell>
          <cell r="K463">
            <v>27.09</v>
          </cell>
          <cell r="L463">
            <v>26.78</v>
          </cell>
          <cell r="M463">
            <v>26.68</v>
          </cell>
          <cell r="N463">
            <v>27.39</v>
          </cell>
        </row>
        <row r="464">
          <cell r="A464" t="str">
            <v>BDORY US</v>
          </cell>
          <cell r="B464" t="str">
            <v>BDORY US</v>
          </cell>
          <cell r="C464">
            <v>0</v>
          </cell>
          <cell r="D464">
            <v>0</v>
          </cell>
          <cell r="E464">
            <v>4.53</v>
          </cell>
          <cell r="F464">
            <v>4.5999999999999996</v>
          </cell>
          <cell r="G464">
            <v>5.29</v>
          </cell>
          <cell r="H464">
            <v>5.03</v>
          </cell>
          <cell r="I464">
            <v>4.9000000000000004</v>
          </cell>
          <cell r="J464">
            <v>4.8099999999999996</v>
          </cell>
          <cell r="K464">
            <v>5</v>
          </cell>
          <cell r="L464">
            <v>4.92</v>
          </cell>
          <cell r="M464">
            <v>4.75</v>
          </cell>
          <cell r="N464">
            <v>4.6500000000000004</v>
          </cell>
        </row>
        <row r="465">
          <cell r="A465" t="str">
            <v>GGAL US</v>
          </cell>
          <cell r="B465" t="str">
            <v>GGAL US</v>
          </cell>
          <cell r="C465">
            <v>0</v>
          </cell>
          <cell r="D465">
            <v>0</v>
          </cell>
          <cell r="E465">
            <v>36.07</v>
          </cell>
          <cell r="F465">
            <v>35.89</v>
          </cell>
          <cell r="G465">
            <v>38.25</v>
          </cell>
          <cell r="H465">
            <v>38.18</v>
          </cell>
          <cell r="I465">
            <v>37.049999999999997</v>
          </cell>
          <cell r="J465">
            <v>36.76</v>
          </cell>
          <cell r="K465">
            <v>36.81</v>
          </cell>
          <cell r="L465">
            <v>36.79</v>
          </cell>
          <cell r="M465">
            <v>35.549999999999997</v>
          </cell>
          <cell r="N465">
            <v>36.47</v>
          </cell>
        </row>
        <row r="466">
          <cell r="A466" t="str">
            <v>VALE US</v>
          </cell>
          <cell r="B466" t="str">
            <v>VALE US</v>
          </cell>
          <cell r="C466">
            <v>0</v>
          </cell>
          <cell r="D466">
            <v>0</v>
          </cell>
          <cell r="E466">
            <v>13.45</v>
          </cell>
          <cell r="F466">
            <v>13.76</v>
          </cell>
          <cell r="G466">
            <v>14.15</v>
          </cell>
          <cell r="H466">
            <v>14.08</v>
          </cell>
          <cell r="I466">
            <v>13.61</v>
          </cell>
          <cell r="J466">
            <v>13.42</v>
          </cell>
          <cell r="K466">
            <v>13.62</v>
          </cell>
          <cell r="L466">
            <v>13.37</v>
          </cell>
          <cell r="M466">
            <v>13.21</v>
          </cell>
          <cell r="N466">
            <v>13.02</v>
          </cell>
        </row>
        <row r="467">
          <cell r="A467" t="str">
            <v>NU US</v>
          </cell>
          <cell r="B467" t="str">
            <v>NU US</v>
          </cell>
          <cell r="C467">
            <v>0</v>
          </cell>
          <cell r="D467">
            <v>0</v>
          </cell>
          <cell r="G467">
            <v>15.18</v>
          </cell>
          <cell r="H467">
            <v>15.66</v>
          </cell>
          <cell r="I467">
            <v>15.58</v>
          </cell>
          <cell r="J467">
            <v>15.38</v>
          </cell>
          <cell r="K467">
            <v>16.12</v>
          </cell>
          <cell r="L467">
            <v>15.58</v>
          </cell>
          <cell r="M467">
            <v>14.93</v>
          </cell>
          <cell r="N467">
            <v>14.73</v>
          </cell>
        </row>
        <row r="468">
          <cell r="A468" t="str">
            <v>TSLA US</v>
          </cell>
          <cell r="B468" t="str">
            <v>TSLA US</v>
          </cell>
          <cell r="C468">
            <v>0</v>
          </cell>
          <cell r="D468">
            <v>0</v>
          </cell>
          <cell r="N468">
            <v>362.44</v>
          </cell>
        </row>
        <row r="469">
          <cell r="A469" t="str">
            <v>PBR US</v>
          </cell>
          <cell r="B469" t="str">
            <v>PBR US</v>
          </cell>
          <cell r="C469">
            <v>0</v>
          </cell>
          <cell r="D469">
            <v>0</v>
          </cell>
          <cell r="E469">
            <v>20.98</v>
          </cell>
          <cell r="F469">
            <v>21.65</v>
          </cell>
          <cell r="G469">
            <v>24.14</v>
          </cell>
          <cell r="H469">
            <v>23.8</v>
          </cell>
          <cell r="I469">
            <v>23.99</v>
          </cell>
          <cell r="J469">
            <v>24.69</v>
          </cell>
          <cell r="K469">
            <v>25.3</v>
          </cell>
          <cell r="L469">
            <v>25.5</v>
          </cell>
          <cell r="M469">
            <v>25.94</v>
          </cell>
          <cell r="N469">
            <v>25.3</v>
          </cell>
        </row>
        <row r="470">
          <cell r="A470" t="str">
            <v>VIST US</v>
          </cell>
          <cell r="B470" t="str">
            <v>VIST US</v>
          </cell>
          <cell r="C470">
            <v>0</v>
          </cell>
          <cell r="D470">
            <v>0</v>
          </cell>
          <cell r="E470">
            <v>64.63</v>
          </cell>
          <cell r="F470">
            <v>64.25</v>
          </cell>
          <cell r="G470">
            <v>66.540000000000006</v>
          </cell>
          <cell r="H470">
            <v>66.06</v>
          </cell>
          <cell r="I470">
            <v>65.430000000000007</v>
          </cell>
          <cell r="J470">
            <v>67.16</v>
          </cell>
          <cell r="K470">
            <v>66.260000000000005</v>
          </cell>
          <cell r="L470">
            <v>69.02</v>
          </cell>
          <cell r="M470">
            <v>69.94</v>
          </cell>
          <cell r="N470">
            <v>69.989999999999995</v>
          </cell>
        </row>
        <row r="471">
          <cell r="A471" t="str">
            <v>AMD US</v>
          </cell>
          <cell r="B471" t="str">
            <v>AMD US</v>
          </cell>
          <cell r="C471">
            <v>0</v>
          </cell>
          <cell r="D471">
            <v>0</v>
          </cell>
          <cell r="E471">
            <v>615.73</v>
          </cell>
          <cell r="F471">
            <v>633.91</v>
          </cell>
          <cell r="G471">
            <v>631.75</v>
          </cell>
          <cell r="H471">
            <v>649.41999999999996</v>
          </cell>
          <cell r="I471">
            <v>645.86</v>
          </cell>
          <cell r="J471">
            <v>620.67999999999995</v>
          </cell>
          <cell r="K471">
            <v>608.1</v>
          </cell>
          <cell r="L471">
            <v>605.53</v>
          </cell>
          <cell r="M471">
            <v>570.82000000000005</v>
          </cell>
          <cell r="N471">
            <v>562.23</v>
          </cell>
        </row>
        <row r="472">
          <cell r="A472" t="str">
            <v>SID US</v>
          </cell>
          <cell r="B472" t="str">
            <v>SID US</v>
          </cell>
          <cell r="C472">
            <v>0</v>
          </cell>
          <cell r="D472">
            <v>0</v>
          </cell>
          <cell r="E472">
            <v>1.1200000000000001</v>
          </cell>
          <cell r="F472">
            <v>1.1599999999999999</v>
          </cell>
          <cell r="G472">
            <v>1.24</v>
          </cell>
          <cell r="H472">
            <v>1.23</v>
          </cell>
          <cell r="I472">
            <v>1.23</v>
          </cell>
          <cell r="J472">
            <v>1.23</v>
          </cell>
          <cell r="K472">
            <v>1.28</v>
          </cell>
          <cell r="L472">
            <v>1.24</v>
          </cell>
          <cell r="M472">
            <v>1.21</v>
          </cell>
          <cell r="N472">
            <v>1.1499999999999999</v>
          </cell>
        </row>
        <row r="473">
          <cell r="A473" t="str">
            <v>MSFT US</v>
          </cell>
          <cell r="B473" t="str">
            <v>MSFT US</v>
          </cell>
          <cell r="C473">
            <v>0</v>
          </cell>
          <cell r="D473">
            <v>0</v>
          </cell>
          <cell r="E473">
            <v>512.79999999999995</v>
          </cell>
          <cell r="F473">
            <v>517.53</v>
          </cell>
          <cell r="G473">
            <v>525.17999999999995</v>
          </cell>
          <cell r="H473">
            <v>529.29999999999995</v>
          </cell>
          <cell r="I473">
            <v>529.76</v>
          </cell>
          <cell r="J473">
            <v>522.61</v>
          </cell>
          <cell r="K473">
            <v>535.07000000000005</v>
          </cell>
          <cell r="L473">
            <v>543.45000000000005</v>
          </cell>
          <cell r="M473">
            <v>533.69000000000005</v>
          </cell>
          <cell r="N473">
            <v>539.44000000000005</v>
          </cell>
        </row>
        <row r="474">
          <cell r="A474" t="str">
            <v>YPF US</v>
          </cell>
          <cell r="B474" t="str">
            <v>YPF US</v>
          </cell>
          <cell r="C474">
            <v>0</v>
          </cell>
          <cell r="D474">
            <v>0</v>
          </cell>
          <cell r="E474">
            <v>49.27</v>
          </cell>
          <cell r="F474">
            <v>49.67</v>
          </cell>
          <cell r="G474">
            <v>51.24</v>
          </cell>
          <cell r="H474">
            <v>51.16</v>
          </cell>
          <cell r="I474">
            <v>49.48</v>
          </cell>
          <cell r="J474">
            <v>49.9</v>
          </cell>
          <cell r="K474">
            <v>50.04</v>
          </cell>
          <cell r="L474">
            <v>51.79</v>
          </cell>
          <cell r="M474">
            <v>52.25</v>
          </cell>
          <cell r="N474">
            <v>51.11</v>
          </cell>
        </row>
        <row r="475">
          <cell r="A475"/>
          <cell r="B475"/>
          <cell r="C475"/>
          <cell r="D475"/>
        </row>
        <row r="476">
          <cell r="A476" t="str">
            <v>ADR</v>
          </cell>
          <cell r="B476"/>
          <cell r="C476"/>
          <cell r="D476"/>
        </row>
        <row r="477">
          <cell r="A477"/>
          <cell r="B477"/>
          <cell r="C477"/>
          <cell r="D477"/>
        </row>
        <row r="478">
          <cell r="A478" t="str">
            <v>EWZ US</v>
          </cell>
          <cell r="B478" t="str">
            <v>EWZ US</v>
          </cell>
          <cell r="C478">
            <v>0</v>
          </cell>
          <cell r="D478">
            <v>0</v>
          </cell>
          <cell r="E478">
            <v>37.14</v>
          </cell>
          <cell r="F478">
            <v>38.19</v>
          </cell>
          <cell r="G478">
            <v>42.98</v>
          </cell>
          <cell r="H478">
            <v>43</v>
          </cell>
          <cell r="I478">
            <v>42.37</v>
          </cell>
          <cell r="J478">
            <v>42.59</v>
          </cell>
          <cell r="K478">
            <v>43.54</v>
          </cell>
          <cell r="L478">
            <v>42.87</v>
          </cell>
          <cell r="M478">
            <v>42.6</v>
          </cell>
          <cell r="N478">
            <v>41.58</v>
          </cell>
        </row>
        <row r="479">
          <cell r="A479" t="str">
            <v>FLRN US</v>
          </cell>
          <cell r="B479" t="str">
            <v>FLRN US</v>
          </cell>
          <cell r="C479">
            <v>0</v>
          </cell>
          <cell r="D479">
            <v>0</v>
          </cell>
          <cell r="E479">
            <v>30.72</v>
          </cell>
          <cell r="F479">
            <v>30.74</v>
          </cell>
          <cell r="G479">
            <v>30.74</v>
          </cell>
          <cell r="H479">
            <v>30.74</v>
          </cell>
          <cell r="I479">
            <v>30.75</v>
          </cell>
          <cell r="J479">
            <v>30.77</v>
          </cell>
          <cell r="K479">
            <v>30.77</v>
          </cell>
          <cell r="L479">
            <v>30.77</v>
          </cell>
          <cell r="M479">
            <v>30.77</v>
          </cell>
          <cell r="N479">
            <v>30.78</v>
          </cell>
        </row>
        <row r="480">
          <cell r="A480" t="str">
            <v>SDIA LN</v>
          </cell>
          <cell r="B480" t="str">
            <v>SDIA LN</v>
          </cell>
          <cell r="C480">
            <v>0</v>
          </cell>
          <cell r="D480">
            <v>0</v>
          </cell>
          <cell r="E480">
            <v>6.3410000000000002</v>
          </cell>
          <cell r="F480">
            <v>6.3470000000000004</v>
          </cell>
          <cell r="G480">
            <v>6.3419999999999996</v>
          </cell>
          <cell r="H480">
            <v>6.3470000000000004</v>
          </cell>
          <cell r="I480">
            <v>6.3559999999999999</v>
          </cell>
          <cell r="J480">
            <v>6.3529999999999998</v>
          </cell>
          <cell r="K480">
            <v>6.3570000000000002</v>
          </cell>
          <cell r="L480">
            <v>6.3550000000000004</v>
          </cell>
          <cell r="M480">
            <v>6.3570000000000002</v>
          </cell>
          <cell r="N480">
            <v>6.3609999999999998</v>
          </cell>
        </row>
        <row r="481">
          <cell r="A481" t="str">
            <v>EMCA LN</v>
          </cell>
          <cell r="B481" t="str">
            <v>EMCA LN</v>
          </cell>
          <cell r="C481">
            <v>0</v>
          </cell>
          <cell r="D481">
            <v>0</v>
          </cell>
          <cell r="E481">
            <v>6.617</v>
          </cell>
          <cell r="F481">
            <v>6.657</v>
          </cell>
          <cell r="G481">
            <v>6.6580000000000004</v>
          </cell>
          <cell r="H481">
            <v>6.64</v>
          </cell>
          <cell r="I481">
            <v>6.6470000000000002</v>
          </cell>
          <cell r="J481">
            <v>6.657</v>
          </cell>
          <cell r="K481">
            <v>6.6630000000000003</v>
          </cell>
          <cell r="L481">
            <v>6.6779999999999999</v>
          </cell>
          <cell r="M481">
            <v>6.6630000000000003</v>
          </cell>
          <cell r="N481">
            <v>6.6929999999999996</v>
          </cell>
        </row>
        <row r="482">
          <cell r="A482" t="str">
            <v>IGV US</v>
          </cell>
          <cell r="B482" t="str">
            <v>IGV US</v>
          </cell>
          <cell r="C482">
            <v>0</v>
          </cell>
          <cell r="D482">
            <v>0</v>
          </cell>
          <cell r="E482">
            <v>108.23</v>
          </cell>
          <cell r="F482">
            <v>108.43</v>
          </cell>
          <cell r="G482">
            <v>109.72</v>
          </cell>
          <cell r="H482">
            <v>111.16</v>
          </cell>
          <cell r="I482">
            <v>109.84</v>
          </cell>
          <cell r="J482">
            <v>109.59</v>
          </cell>
          <cell r="K482">
            <v>112.67</v>
          </cell>
          <cell r="L482">
            <v>110.98</v>
          </cell>
          <cell r="M482">
            <v>107.65</v>
          </cell>
          <cell r="N482">
            <v>109.6</v>
          </cell>
        </row>
        <row r="483">
          <cell r="A483"/>
          <cell r="B483"/>
          <cell r="C483"/>
          <cell r="D483"/>
        </row>
        <row r="484">
          <cell r="A484" t="str">
            <v>Funds</v>
          </cell>
          <cell r="B484"/>
          <cell r="C484"/>
          <cell r="D484"/>
        </row>
        <row r="485">
          <cell r="A485"/>
          <cell r="B485"/>
          <cell r="C485"/>
          <cell r="D485"/>
        </row>
        <row r="486">
          <cell r="A486" t="str">
            <v>MUHYIU1 LX</v>
          </cell>
          <cell r="B486" t="str">
            <v>MUHYIU1 LX</v>
          </cell>
          <cell r="C486">
            <v>0</v>
          </cell>
          <cell r="D486">
            <v>0</v>
          </cell>
          <cell r="E486">
            <v>294.14999999999998</v>
          </cell>
          <cell r="F486">
            <v>293.37</v>
          </cell>
          <cell r="G486">
            <v>293.81</v>
          </cell>
          <cell r="H486">
            <v>293.64999999999998</v>
          </cell>
          <cell r="I486">
            <v>294.91000000000003</v>
          </cell>
          <cell r="J486">
            <v>294.60000000000002</v>
          </cell>
          <cell r="K486">
            <v>294.2</v>
          </cell>
          <cell r="L486">
            <v>294.52999999999997</v>
          </cell>
          <cell r="M486">
            <v>294.11</v>
          </cell>
          <cell r="N486">
            <v>293.43</v>
          </cell>
        </row>
        <row r="487">
          <cell r="A487" t="str">
            <v>MGCIF1U LX</v>
          </cell>
          <cell r="B487" t="str">
            <v>MGCIF1U LX</v>
          </cell>
          <cell r="C487">
            <v>0</v>
          </cell>
          <cell r="D487">
            <v>0</v>
          </cell>
          <cell r="E487">
            <v>151.72999999999999</v>
          </cell>
          <cell r="F487">
            <v>151.46</v>
          </cell>
          <cell r="G487">
            <v>151.47</v>
          </cell>
          <cell r="H487">
            <v>151.11000000000001</v>
          </cell>
          <cell r="I487">
            <v>151.74</v>
          </cell>
          <cell r="J487">
            <v>151.38</v>
          </cell>
          <cell r="K487">
            <v>151.66999999999999</v>
          </cell>
          <cell r="L487">
            <v>151.53</v>
          </cell>
          <cell r="M487">
            <v>151.86000000000001</v>
          </cell>
          <cell r="N487">
            <v>151.75</v>
          </cell>
        </row>
        <row r="488">
          <cell r="A488"/>
          <cell r="B488"/>
          <cell r="C488"/>
          <cell r="D488"/>
        </row>
        <row r="489">
          <cell r="A489" t="str">
            <v>Latam</v>
          </cell>
          <cell r="B489"/>
          <cell r="C489"/>
          <cell r="D489"/>
        </row>
        <row r="490">
          <cell r="A490"/>
          <cell r="B490"/>
          <cell r="C490"/>
          <cell r="D490"/>
        </row>
        <row r="491">
          <cell r="A491" t="str">
            <v>CH27</v>
          </cell>
          <cell r="B491" t="str">
            <v>CH27ARS</v>
          </cell>
          <cell r="C491">
            <v>0</v>
          </cell>
          <cell r="D491">
            <v>0</v>
          </cell>
          <cell r="E491">
            <v>0.99828611111111099</v>
          </cell>
          <cell r="F491">
            <v>0.99823027777777762</v>
          </cell>
          <cell r="G491">
            <v>0.99873166666666657</v>
          </cell>
          <cell r="H491">
            <v>0.99930305555555554</v>
          </cell>
          <cell r="I491">
            <v>0.99940944444444435</v>
          </cell>
          <cell r="J491">
            <v>0.99986583333333323</v>
          </cell>
          <cell r="K491">
            <v>1.000366388888889</v>
          </cell>
          <cell r="L491">
            <v>1.0004427777777778</v>
          </cell>
          <cell r="M491">
            <v>1.0001991666666668</v>
          </cell>
          <cell r="N491">
            <v>1.0006355555555555</v>
          </cell>
        </row>
        <row r="492">
          <cell r="A492" t="str">
            <v>CH28</v>
          </cell>
          <cell r="B492" t="str">
            <v>CH28ARS</v>
          </cell>
          <cell r="C492">
            <v>0</v>
          </cell>
          <cell r="D492">
            <v>0</v>
          </cell>
          <cell r="E492">
            <v>0.97829500000000014</v>
          </cell>
          <cell r="F492">
            <v>0.97819</v>
          </cell>
          <cell r="G492">
            <v>0.97930500000000009</v>
          </cell>
          <cell r="H492">
            <v>0.98093000000000008</v>
          </cell>
          <cell r="I492">
            <v>0.98110500000000012</v>
          </cell>
          <cell r="J492">
            <v>0.9816149999999999</v>
          </cell>
          <cell r="K492">
            <v>0.98216499999999995</v>
          </cell>
          <cell r="L492">
            <v>0.98290499999999992</v>
          </cell>
          <cell r="M492">
            <v>0.98251499999999992</v>
          </cell>
          <cell r="N492">
            <v>0.98352000000000006</v>
          </cell>
        </row>
        <row r="493">
          <cell r="A493" t="str">
            <v>BR27</v>
          </cell>
          <cell r="B493" t="str">
            <v>BR27ARS</v>
          </cell>
          <cell r="C493">
            <v>0</v>
          </cell>
          <cell r="D493">
            <v>0</v>
          </cell>
          <cell r="E493">
            <v>1.0669912500000001</v>
          </cell>
          <cell r="F493">
            <v>1.0673650000000001</v>
          </cell>
          <cell r="G493">
            <v>1.07000625</v>
          </cell>
          <cell r="H493">
            <v>1.0707775000000002</v>
          </cell>
          <cell r="I493">
            <v>1.07073375</v>
          </cell>
          <cell r="J493">
            <v>1.070255</v>
          </cell>
          <cell r="K493">
            <v>1.071645</v>
          </cell>
          <cell r="L493">
            <v>1.0717412499999999</v>
          </cell>
          <cell r="M493">
            <v>1.0714174999999999</v>
          </cell>
          <cell r="N493">
            <v>1.0725137500000002</v>
          </cell>
        </row>
        <row r="494">
          <cell r="A494" t="str">
            <v>BR28</v>
          </cell>
          <cell r="B494" t="str">
            <v>BR28ARS</v>
          </cell>
          <cell r="C494">
            <v>0</v>
          </cell>
          <cell r="D494">
            <v>0</v>
          </cell>
          <cell r="E494">
            <v>1.0057343055555554</v>
          </cell>
          <cell r="F494">
            <v>1.0061897222222222</v>
          </cell>
          <cell r="G494">
            <v>1.0073631944444446</v>
          </cell>
          <cell r="H494">
            <v>1.0078066666666665</v>
          </cell>
          <cell r="I494">
            <v>1.0073451388888888</v>
          </cell>
          <cell r="J494">
            <v>1.0077386111111111</v>
          </cell>
          <cell r="K494">
            <v>1.0081975000000001</v>
          </cell>
          <cell r="L494">
            <v>1.0082509722222222</v>
          </cell>
          <cell r="M494">
            <v>1.0080344444444445</v>
          </cell>
          <cell r="N494">
            <v>1.0087829166666666</v>
          </cell>
        </row>
        <row r="495">
          <cell r="A495" t="str">
            <v>CDEL27</v>
          </cell>
          <cell r="B495" t="str">
            <v>CDEL27ARS</v>
          </cell>
          <cell r="C495">
            <v>0</v>
          </cell>
          <cell r="D495">
            <v>0</v>
          </cell>
          <cell r="E495">
            <v>0.99082736111111114</v>
          </cell>
          <cell r="F495">
            <v>0.99194944444444444</v>
          </cell>
          <cell r="G495">
            <v>0.99240513888888904</v>
          </cell>
          <cell r="H495">
            <v>0.99373083333333345</v>
          </cell>
          <cell r="I495">
            <v>0.99441652777777778</v>
          </cell>
          <cell r="J495">
            <v>0.99494722222222221</v>
          </cell>
          <cell r="K495">
            <v>0.99535499999999999</v>
          </cell>
          <cell r="L495">
            <v>0.99528069444444456</v>
          </cell>
          <cell r="M495">
            <v>0.9948663888888889</v>
          </cell>
          <cell r="N495">
            <v>0.99561208333333329</v>
          </cell>
        </row>
        <row r="496">
          <cell r="A496"/>
          <cell r="B496"/>
          <cell r="C496"/>
          <cell r="D496"/>
        </row>
        <row r="497">
          <cell r="A497" t="str">
            <v>Futuros</v>
          </cell>
          <cell r="B497"/>
          <cell r="C497"/>
          <cell r="D497"/>
        </row>
        <row r="498">
          <cell r="A498"/>
          <cell r="B498"/>
          <cell r="C498"/>
          <cell r="D498"/>
        </row>
        <row r="499">
          <cell r="A499" t="str">
            <v>FUTDLR102026</v>
          </cell>
          <cell r="B499" t="str">
            <v>FUTDLR102026</v>
          </cell>
          <cell r="C499">
            <v>0</v>
          </cell>
          <cell r="D499">
            <v>0</v>
          </cell>
          <cell r="E499">
            <v>1548</v>
          </cell>
          <cell r="F499">
            <v>1543.5</v>
          </cell>
          <cell r="G499">
            <v>1540</v>
          </cell>
          <cell r="H499">
            <v>1538</v>
          </cell>
          <cell r="I499">
            <v>1535.5</v>
          </cell>
          <cell r="J499">
            <v>1534</v>
          </cell>
          <cell r="K499">
            <v>1533.5</v>
          </cell>
          <cell r="L499">
            <v>1526</v>
          </cell>
          <cell r="M499">
            <v>1527</v>
          </cell>
          <cell r="N499">
            <v>1526</v>
          </cell>
        </row>
        <row r="500">
          <cell r="A500"/>
          <cell r="B500"/>
          <cell r="C500"/>
          <cell r="D500"/>
        </row>
        <row r="501">
          <cell r="A501" t="str">
            <v>Futuros Soja</v>
          </cell>
          <cell r="B501"/>
          <cell r="C501"/>
          <cell r="D501"/>
        </row>
        <row r="502">
          <cell r="A502"/>
          <cell r="B502"/>
          <cell r="C502"/>
          <cell r="D502"/>
        </row>
        <row r="503">
          <cell r="A503" t="str">
            <v>FUTDLRMM1126</v>
          </cell>
          <cell r="B503" t="str">
            <v>FUTDLRMM1126</v>
          </cell>
          <cell r="C503">
            <v>0</v>
          </cell>
          <cell r="D503">
            <v>0</v>
          </cell>
          <cell r="E503">
            <v>563441.07545999996</v>
          </cell>
          <cell r="F503">
            <v>563389.80732000002</v>
          </cell>
          <cell r="G503">
            <v>562881.42105</v>
          </cell>
          <cell r="H503">
            <v>567680.09467999998</v>
          </cell>
          <cell r="I503">
            <v>569051.02911999996</v>
          </cell>
          <cell r="J503">
            <v>567135.95805000002</v>
          </cell>
          <cell r="K503">
            <v>567241.02372000006</v>
          </cell>
          <cell r="L503">
            <v>565262.06846999994</v>
          </cell>
          <cell r="M503">
            <v>563115.45290000003</v>
          </cell>
          <cell r="N503">
            <v>561365.54064000002</v>
          </cell>
        </row>
        <row r="504">
          <cell r="A504" t="str">
            <v>FUTDLRMM0527</v>
          </cell>
          <cell r="B504" t="str">
            <v>FUTDLRMM0527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>
            <v>539716.33020000008</v>
          </cell>
        </row>
        <row r="505">
          <cell r="A505" t="str">
            <v>FUTARSSRO1126</v>
          </cell>
          <cell r="B505" t="str">
            <v>FUTARSSRO1126</v>
          </cell>
          <cell r="C505">
            <v>0</v>
          </cell>
          <cell r="D505">
            <v>0</v>
          </cell>
          <cell r="E505">
            <v>563441.07545999996</v>
          </cell>
          <cell r="F505">
            <v>563389.80732000002</v>
          </cell>
          <cell r="G505">
            <v>562881.42105</v>
          </cell>
          <cell r="H505">
            <v>567680.09467999998</v>
          </cell>
          <cell r="I505">
            <v>569051.02911999996</v>
          </cell>
          <cell r="J505">
            <v>567135.95805000002</v>
          </cell>
          <cell r="K505">
            <v>567241.02372000006</v>
          </cell>
          <cell r="L505">
            <v>565262.06846999994</v>
          </cell>
          <cell r="M505">
            <v>563115.45290000003</v>
          </cell>
          <cell r="N505">
            <v>561365.54064000002</v>
          </cell>
        </row>
        <row r="506">
          <cell r="A506" t="str">
            <v>FUTARSSRO0127</v>
          </cell>
          <cell r="B506" t="str">
            <v>FUTARSSRO0127</v>
          </cell>
          <cell r="C506">
            <v>0</v>
          </cell>
          <cell r="D506">
            <v>0</v>
          </cell>
          <cell r="E506">
            <v>570295.58976</v>
          </cell>
          <cell r="F506">
            <v>570852.93264000001</v>
          </cell>
          <cell r="G506">
            <v>570477.66154999996</v>
          </cell>
          <cell r="H506">
            <v>574369.41555999999</v>
          </cell>
          <cell r="I506">
            <v>577110.8112</v>
          </cell>
          <cell r="J506">
            <v>574272.60866000003</v>
          </cell>
          <cell r="K506">
            <v>574668.81906000001</v>
          </cell>
          <cell r="L506">
            <v>572992.92539999995</v>
          </cell>
          <cell r="M506">
            <v>570991.19349999994</v>
          </cell>
          <cell r="N506">
            <v>568783.80156000005</v>
          </cell>
        </row>
        <row r="507">
          <cell r="A507" t="str">
            <v>FUTARSSRO0527</v>
          </cell>
          <cell r="B507" t="str">
            <v>FUTARSSRO0527</v>
          </cell>
          <cell r="C507">
            <v>0</v>
          </cell>
          <cell r="D507">
            <v>0</v>
          </cell>
          <cell r="E507">
            <v>541201.98462</v>
          </cell>
          <cell r="F507">
            <v>541000.43136000005</v>
          </cell>
          <cell r="G507">
            <v>542067.72207999998</v>
          </cell>
          <cell r="H507">
            <v>545027.62170000002</v>
          </cell>
          <cell r="I507">
            <v>546240.32512000005</v>
          </cell>
          <cell r="J507">
            <v>544814.94443999999</v>
          </cell>
          <cell r="K507">
            <v>543896.52408</v>
          </cell>
          <cell r="L507">
            <v>543888.52283999999</v>
          </cell>
          <cell r="M507">
            <v>542365.90555000002</v>
          </cell>
          <cell r="N507">
            <v>539716.33020000008</v>
          </cell>
        </row>
        <row r="508">
          <cell r="A508"/>
          <cell r="B508"/>
          <cell r="C508"/>
          <cell r="D508"/>
        </row>
        <row r="509">
          <cell r="A509" t="str">
            <v>Treasury</v>
          </cell>
          <cell r="B509"/>
          <cell r="C509"/>
          <cell r="D509"/>
        </row>
        <row r="510">
          <cell r="A510"/>
          <cell r="B510"/>
          <cell r="C510"/>
          <cell r="D510"/>
        </row>
        <row r="511">
          <cell r="A511" t="str">
            <v>US27102026</v>
          </cell>
          <cell r="B511" t="str">
            <v>US27102026</v>
          </cell>
          <cell r="C511">
            <v>0</v>
          </cell>
          <cell r="D511">
            <v>0</v>
          </cell>
          <cell r="E511">
            <v>0.99740721943840094</v>
          </cell>
          <cell r="F511">
            <v>0.99748607274418333</v>
          </cell>
          <cell r="G511">
            <v>0.99781159414426202</v>
          </cell>
          <cell r="H511">
            <v>0.99791847875447959</v>
          </cell>
          <cell r="I511">
            <v>0.99800881655753604</v>
          </cell>
          <cell r="J511">
            <v>0.99811120716617363</v>
          </cell>
          <cell r="K511">
            <v>0.99822003693168004</v>
          </cell>
          <cell r="L511">
            <v>0.99864495917499729</v>
          </cell>
          <cell r="M511">
            <v>0.99874719341093465</v>
          </cell>
          <cell r="N511">
            <v>0.99885535281452464</v>
          </cell>
        </row>
        <row r="512">
          <cell r="A512" t="str">
            <v>US03112026</v>
          </cell>
          <cell r="B512" t="str">
            <v>US03112026</v>
          </cell>
          <cell r="C512">
            <v>0</v>
          </cell>
          <cell r="D512">
            <v>0</v>
          </cell>
          <cell r="E512">
            <v>0.99664019211684141</v>
          </cell>
          <cell r="F512">
            <v>0.99673657522131986</v>
          </cell>
          <cell r="G512">
            <v>0.99704467217952419</v>
          </cell>
          <cell r="H512">
            <v>0.99715028654083315</v>
          </cell>
          <cell r="I512">
            <v>0.99725398328923642</v>
          </cell>
          <cell r="J512">
            <v>0.99734971391433336</v>
          </cell>
          <cell r="K512">
            <v>0.99745283884478586</v>
          </cell>
          <cell r="L512">
            <v>0.99787417260511158</v>
          </cell>
          <cell r="M512">
            <v>0.99799025542628228</v>
          </cell>
          <cell r="N512">
            <v>0.99810103757661728</v>
          </cell>
        </row>
        <row r="513">
          <cell r="A513" t="str">
            <v>US19112026</v>
          </cell>
          <cell r="B513" t="str">
            <v>US19112026</v>
          </cell>
          <cell r="C513">
            <v>0</v>
          </cell>
          <cell r="D513">
            <v>0</v>
          </cell>
          <cell r="E513">
            <v>0.99488412592762443</v>
          </cell>
          <cell r="F513">
            <v>0.99500164603258601</v>
          </cell>
          <cell r="G513">
            <v>0.99529805926476933</v>
          </cell>
          <cell r="H513">
            <v>0.9953910069318701</v>
          </cell>
          <cell r="I513">
            <v>0.99548425432463727</v>
          </cell>
          <cell r="J513">
            <v>0.99558194555074508</v>
          </cell>
          <cell r="K513">
            <v>0.99569640916411706</v>
          </cell>
          <cell r="L513">
            <v>0.99613488747114487</v>
          </cell>
          <cell r="M513">
            <v>0.99623042782501603</v>
          </cell>
          <cell r="N513">
            <v>0.99634753733297843</v>
          </cell>
        </row>
        <row r="514">
          <cell r="A514" t="str">
            <v>US01122026</v>
          </cell>
          <cell r="B514" t="str">
            <v>US01122026</v>
          </cell>
          <cell r="C514">
            <v>0</v>
          </cell>
          <cell r="D514">
            <v>0</v>
          </cell>
          <cell r="E514">
            <v>0.99355019875631478</v>
          </cell>
          <cell r="F514">
            <v>0.9936594075953975</v>
          </cell>
          <cell r="G514">
            <v>0.99396410531466339</v>
          </cell>
          <cell r="H514">
            <v>0.99407095231806586</v>
          </cell>
          <cell r="I514">
            <v>0.99416394170869815</v>
          </cell>
          <cell r="J514">
            <v>0.9942856090587755</v>
          </cell>
          <cell r="K514">
            <v>0.99440014862495318</v>
          </cell>
          <cell r="L514">
            <v>0.99483557684655111</v>
          </cell>
          <cell r="M514">
            <v>0.99493510430836929</v>
          </cell>
          <cell r="N514">
            <v>0.99503721779960752</v>
          </cell>
        </row>
        <row r="515">
          <cell r="A515" t="str">
            <v>US10122026</v>
          </cell>
          <cell r="B515" t="str">
            <v>US10122026</v>
          </cell>
          <cell r="C515">
            <v>0</v>
          </cell>
          <cell r="D515">
            <v>0</v>
          </cell>
          <cell r="L515">
            <v>0.993862536688776</v>
          </cell>
          <cell r="M515">
            <v>0.9939403081169208</v>
          </cell>
          <cell r="N515">
            <v>0.99405874238986747</v>
          </cell>
        </row>
        <row r="516">
          <cell r="A516"/>
          <cell r="B516"/>
          <cell r="C516"/>
          <cell r="D516"/>
        </row>
        <row r="517">
          <cell r="A517" t="str">
            <v>Pagarés $</v>
          </cell>
          <cell r="B517"/>
          <cell r="C517"/>
          <cell r="D517"/>
        </row>
        <row r="518">
          <cell r="A518"/>
          <cell r="B518"/>
          <cell r="C518"/>
          <cell r="D518"/>
        </row>
        <row r="519">
          <cell r="A519" t="str">
            <v>#MAV150270009</v>
          </cell>
          <cell r="B519" t="str">
            <v>#MAV150270009</v>
          </cell>
          <cell r="C519"/>
          <cell r="D519"/>
          <cell r="E519">
            <v>0.90183579176240958</v>
          </cell>
          <cell r="F519">
            <v>0.90377853711682266</v>
          </cell>
          <cell r="G519">
            <v>0.90442798027603644</v>
          </cell>
          <cell r="H519">
            <v>0.90507835746875631</v>
          </cell>
          <cell r="I519">
            <v>0.90572967071143207</v>
          </cell>
          <cell r="J519">
            <v>0.90638192202632228</v>
          </cell>
          <cell r="K519">
            <v>0.90900034865766799</v>
          </cell>
          <cell r="L519">
            <v>0.90965732087227413</v>
          </cell>
          <cell r="M519">
            <v>0.91031524341580217</v>
          </cell>
          <cell r="N519">
            <v>0.9109741183517609</v>
          </cell>
        </row>
        <row r="520">
          <cell r="A520" t="str">
            <v>#MAV150270010</v>
          </cell>
          <cell r="B520" t="str">
            <v>#MAV150270010</v>
          </cell>
          <cell r="C520"/>
          <cell r="D520"/>
          <cell r="E520">
            <v>0.90183579176240958</v>
          </cell>
          <cell r="F520">
            <v>0.90377853711682266</v>
          </cell>
          <cell r="G520">
            <v>0.90442798027603644</v>
          </cell>
          <cell r="H520">
            <v>0.90507835746875631</v>
          </cell>
          <cell r="I520">
            <v>0.90572967071143207</v>
          </cell>
          <cell r="J520">
            <v>0.90638192202632228</v>
          </cell>
          <cell r="K520">
            <v>0.90900034865766799</v>
          </cell>
          <cell r="L520">
            <v>0.90965732087227413</v>
          </cell>
          <cell r="M520">
            <v>0.91031524341580217</v>
          </cell>
          <cell r="N520">
            <v>0.9109741183517609</v>
          </cell>
        </row>
        <row r="521">
          <cell r="A521" t="str">
            <v>#MAV101260047</v>
          </cell>
          <cell r="B521" t="str">
            <v>#MAV101260047</v>
          </cell>
          <cell r="C521"/>
          <cell r="D521"/>
          <cell r="J521">
            <v>0.95570878898604539</v>
          </cell>
          <cell r="K521">
            <v>0.95840395545128343</v>
          </cell>
          <cell r="L521">
            <v>0.95908012391840725</v>
          </cell>
          <cell r="M521">
            <v>0.95975724715326793</v>
          </cell>
          <cell r="N521">
            <v>0.9604353271795304</v>
          </cell>
        </row>
        <row r="522">
          <cell r="A522"/>
          <cell r="B522"/>
          <cell r="C522"/>
          <cell r="D522"/>
        </row>
        <row r="523">
          <cell r="A523" t="str">
            <v>Pagarés USD</v>
          </cell>
          <cell r="B523"/>
          <cell r="C523"/>
          <cell r="D523"/>
        </row>
        <row r="524">
          <cell r="A524"/>
          <cell r="B524"/>
          <cell r="C524"/>
          <cell r="D524"/>
        </row>
        <row r="525">
          <cell r="A525" t="str">
            <v>#UMV130170010</v>
          </cell>
          <cell r="B525" t="str">
            <v>#UMV130170010</v>
          </cell>
          <cell r="C525"/>
          <cell r="D525"/>
          <cell r="E525">
            <v>1489.5872549347944</v>
          </cell>
          <cell r="F525">
            <v>1490.3920891565037</v>
          </cell>
          <cell r="G525">
            <v>1486.9487220740707</v>
          </cell>
          <cell r="H525">
            <v>1488.2917339412631</v>
          </cell>
          <cell r="I525">
            <v>1489.0099269928094</v>
          </cell>
          <cell r="J525">
            <v>1487.0932630878499</v>
          </cell>
          <cell r="K525">
            <v>1485.8382427580502</v>
          </cell>
          <cell r="L525">
            <v>1486.1296707901279</v>
          </cell>
          <cell r="M525">
            <v>1485.1792948831612</v>
          </cell>
          <cell r="N525">
            <v>1484.870062220622</v>
          </cell>
        </row>
        <row r="526">
          <cell r="A526" t="str">
            <v>#UMV130170012</v>
          </cell>
          <cell r="B526" t="str">
            <v>#UMV130170012</v>
          </cell>
          <cell r="C526"/>
          <cell r="D526"/>
          <cell r="E526">
            <v>1489.5872549347944</v>
          </cell>
          <cell r="F526">
            <v>1490.3920891565037</v>
          </cell>
          <cell r="G526">
            <v>1486.9487220740707</v>
          </cell>
          <cell r="H526">
            <v>1488.2917339412631</v>
          </cell>
          <cell r="I526">
            <v>1489.0099269928094</v>
          </cell>
          <cell r="J526">
            <v>1487.0932630878499</v>
          </cell>
          <cell r="K526">
            <v>1485.8382427580502</v>
          </cell>
          <cell r="L526">
            <v>1486.1296707901279</v>
          </cell>
          <cell r="M526">
            <v>1485.1792948831612</v>
          </cell>
          <cell r="N526">
            <v>1484.870062220622</v>
          </cell>
        </row>
        <row r="527">
          <cell r="A527" t="str">
            <v>#UMV150270056</v>
          </cell>
          <cell r="B527" t="str">
            <v>#UMV150270056</v>
          </cell>
          <cell r="C527"/>
          <cell r="D527"/>
          <cell r="E527">
            <v>1479.9382207008166</v>
          </cell>
          <cell r="F527">
            <v>1480.7317857290304</v>
          </cell>
          <cell r="G527">
            <v>1477.3087219803815</v>
          </cell>
          <cell r="H527">
            <v>1478.6410087307329</v>
          </cell>
          <cell r="I527">
            <v>1479.3525246198744</v>
          </cell>
          <cell r="J527">
            <v>1477.4462734570873</v>
          </cell>
          <cell r="K527">
            <v>1476.1913196598298</v>
          </cell>
          <cell r="L527">
            <v>1476.4788343198109</v>
          </cell>
          <cell r="M527">
            <v>1475.5326092904013</v>
          </cell>
          <cell r="N527">
            <v>1475.2233639545409</v>
          </cell>
        </row>
        <row r="528">
          <cell r="A528" t="str">
            <v>#UMV150270055</v>
          </cell>
          <cell r="B528" t="str">
            <v>#UMV150270055</v>
          </cell>
          <cell r="C528"/>
          <cell r="D528"/>
          <cell r="E528">
            <v>1479.9382207008166</v>
          </cell>
          <cell r="F528">
            <v>1480.7317857290304</v>
          </cell>
          <cell r="G528">
            <v>1477.3087219803815</v>
          </cell>
          <cell r="H528">
            <v>1478.6410087307329</v>
          </cell>
          <cell r="I528">
            <v>1479.3525246198744</v>
          </cell>
          <cell r="J528">
            <v>1477.4462734570873</v>
          </cell>
          <cell r="K528">
            <v>1476.1913196598298</v>
          </cell>
          <cell r="L528">
            <v>1476.4788343198109</v>
          </cell>
          <cell r="M528">
            <v>1475.5326092904013</v>
          </cell>
          <cell r="N528">
            <v>1475.2233639545409</v>
          </cell>
        </row>
        <row r="529">
          <cell r="A529" t="str">
            <v>#UMV150370062</v>
          </cell>
          <cell r="B529" t="str">
            <v>#UMV150370062</v>
          </cell>
          <cell r="C529"/>
          <cell r="D529"/>
          <cell r="E529">
            <v>1471.3297845313516</v>
          </cell>
          <cell r="F529">
            <v>1472.1133623822782</v>
          </cell>
          <cell r="G529">
            <v>1468.7084344210193</v>
          </cell>
          <cell r="H529">
            <v>1470.031175037717</v>
          </cell>
          <cell r="I529">
            <v>1470.7367561996064</v>
          </cell>
          <cell r="J529">
            <v>1468.8398169215093</v>
          </cell>
          <cell r="K529">
            <v>1467.5850115580338</v>
          </cell>
          <cell r="L529">
            <v>1467.8690572835419</v>
          </cell>
          <cell r="M529">
            <v>1466.9265576676348</v>
          </cell>
          <cell r="N529">
            <v>1466.6173233362085</v>
          </cell>
        </row>
        <row r="530">
          <cell r="A530" t="str">
            <v>#UMV150370061</v>
          </cell>
          <cell r="B530" t="str">
            <v>#UMV150370061</v>
          </cell>
          <cell r="C530"/>
          <cell r="D530"/>
          <cell r="E530">
            <v>1471.3297845313516</v>
          </cell>
          <cell r="F530">
            <v>1472.1133623822782</v>
          </cell>
          <cell r="G530">
            <v>1468.7084344210193</v>
          </cell>
          <cell r="H530">
            <v>1470.031175037717</v>
          </cell>
          <cell r="I530">
            <v>1470.7367561996064</v>
          </cell>
          <cell r="J530">
            <v>1468.8398169215093</v>
          </cell>
          <cell r="K530">
            <v>1467.5850115580338</v>
          </cell>
          <cell r="L530">
            <v>1467.8690572835419</v>
          </cell>
          <cell r="M530">
            <v>1466.9265576676348</v>
          </cell>
          <cell r="N530">
            <v>1466.6173233362085</v>
          </cell>
        </row>
        <row r="531">
          <cell r="A531" t="str">
            <v>#UMV150170072</v>
          </cell>
          <cell r="B531" t="str">
            <v>#UMV150170072</v>
          </cell>
          <cell r="C531"/>
          <cell r="D531"/>
          <cell r="E531">
            <v>1488.3351541199256</v>
          </cell>
          <cell r="F531">
            <v>1489.1385215404439</v>
          </cell>
          <cell r="G531">
            <v>1485.6977876313656</v>
          </cell>
          <cell r="H531">
            <v>1487.0394062664136</v>
          </cell>
          <cell r="I531">
            <v>1487.7567313658665</v>
          </cell>
          <cell r="J531">
            <v>1485.8414171852003</v>
          </cell>
          <cell r="K531">
            <v>1484.586399529908</v>
          </cell>
          <cell r="L531">
            <v>1484.8773182471427</v>
          </cell>
          <cell r="M531">
            <v>1483.9274794919147</v>
          </cell>
          <cell r="N531">
            <v>1483.6182436922334</v>
          </cell>
        </row>
        <row r="532">
          <cell r="A532" t="str">
            <v>#UMV150170073</v>
          </cell>
          <cell r="B532" t="str">
            <v>#UMV150170073</v>
          </cell>
          <cell r="C532"/>
          <cell r="D532"/>
          <cell r="E532">
            <v>1488.3351541199256</v>
          </cell>
          <cell r="F532">
            <v>1489.1385215404439</v>
          </cell>
          <cell r="G532">
            <v>1485.6977876313656</v>
          </cell>
          <cell r="H532">
            <v>1487.0394062664136</v>
          </cell>
          <cell r="I532">
            <v>1487.7567313658665</v>
          </cell>
          <cell r="J532">
            <v>1485.8414171852003</v>
          </cell>
          <cell r="K532">
            <v>1484.586399529908</v>
          </cell>
          <cell r="L532">
            <v>1484.8773182471427</v>
          </cell>
          <cell r="M532">
            <v>1483.9274794919147</v>
          </cell>
          <cell r="N532">
            <v>1483.6182436922334</v>
          </cell>
        </row>
        <row r="533">
          <cell r="A533" t="str">
            <v>#UMV150370068</v>
          </cell>
          <cell r="B533" t="str">
            <v>#UMV150370068</v>
          </cell>
          <cell r="C533"/>
          <cell r="D533"/>
          <cell r="E533">
            <v>1471.3297845313516</v>
          </cell>
          <cell r="F533">
            <v>1472.1133623822782</v>
          </cell>
          <cell r="G533">
            <v>1468.7084344210193</v>
          </cell>
          <cell r="H533">
            <v>1470.031175037717</v>
          </cell>
          <cell r="I533">
            <v>1470.7367561996064</v>
          </cell>
          <cell r="J533">
            <v>1468.8398169215093</v>
          </cell>
          <cell r="K533">
            <v>1467.5850115580338</v>
          </cell>
          <cell r="L533">
            <v>1467.8690572835419</v>
          </cell>
          <cell r="M533">
            <v>1466.9265576676348</v>
          </cell>
          <cell r="N533">
            <v>1466.6173233362085</v>
          </cell>
        </row>
        <row r="534">
          <cell r="A534" t="str">
            <v>#UMV150370069</v>
          </cell>
          <cell r="B534" t="str">
            <v>#UMV150370069</v>
          </cell>
          <cell r="C534"/>
          <cell r="D534"/>
          <cell r="E534">
            <v>1471.3297845313516</v>
          </cell>
          <cell r="F534">
            <v>1472.1133623822782</v>
          </cell>
          <cell r="G534">
            <v>1468.7084344210193</v>
          </cell>
          <cell r="H534">
            <v>1470.031175037717</v>
          </cell>
          <cell r="I534">
            <v>1470.7367561996064</v>
          </cell>
          <cell r="J534">
            <v>1468.8398169215093</v>
          </cell>
          <cell r="K534">
            <v>1467.5850115580338</v>
          </cell>
          <cell r="L534">
            <v>1467.8690572835419</v>
          </cell>
          <cell r="M534">
            <v>1466.9265576676348</v>
          </cell>
          <cell r="N534">
            <v>1466.6173233362085</v>
          </cell>
        </row>
        <row r="535">
          <cell r="A535" t="str">
            <v>#UMV080470014</v>
          </cell>
          <cell r="B535" t="str">
            <v>#UMV080470014</v>
          </cell>
          <cell r="C535"/>
          <cell r="D535"/>
          <cell r="E535">
            <v>1464.0304378051287</v>
          </cell>
          <cell r="F535">
            <v>1464.8055965061362</v>
          </cell>
          <cell r="G535">
            <v>1461.4160627128113</v>
          </cell>
          <cell r="H535">
            <v>1462.7307253822501</v>
          </cell>
          <cell r="I535">
            <v>1463.4312908167165</v>
          </cell>
          <cell r="J535">
            <v>1461.5422636887097</v>
          </cell>
          <cell r="K535">
            <v>1460.2876499922802</v>
          </cell>
          <cell r="L535">
            <v>1460.5687708544517</v>
          </cell>
          <cell r="M535">
            <v>1459.6294465163867</v>
          </cell>
          <cell r="N535">
            <v>1459.3202379977765</v>
          </cell>
        </row>
        <row r="536">
          <cell r="A536" t="str">
            <v>#UMV110270016</v>
          </cell>
          <cell r="B536" t="str">
            <v>#UMV110270016</v>
          </cell>
          <cell r="C536"/>
          <cell r="D536"/>
          <cell r="E536">
            <v>1481.176227215328</v>
          </cell>
          <cell r="F536">
            <v>1481.9712337038306</v>
          </cell>
          <cell r="G536">
            <v>1478.5455635012052</v>
          </cell>
          <cell r="H536">
            <v>1479.8792248436205</v>
          </cell>
          <cell r="I536">
            <v>1480.5915959572251</v>
          </cell>
          <cell r="J536">
            <v>1478.6840073370017</v>
          </cell>
          <cell r="K536">
            <v>1477.4290391016252</v>
          </cell>
          <cell r="L536">
            <v>1477.7170543774371</v>
          </cell>
          <cell r="M536">
            <v>1476.7702953052228</v>
          </cell>
          <cell r="N536">
            <v>1476.4610501171637</v>
          </cell>
        </row>
        <row r="537">
          <cell r="A537" t="str">
            <v>#UMV140170019</v>
          </cell>
          <cell r="B537" t="str">
            <v>#UMV140170019</v>
          </cell>
          <cell r="C537"/>
          <cell r="D537"/>
          <cell r="E537">
            <v>1489.9006093835419</v>
          </cell>
          <cell r="F537">
            <v>1490.7058108994086</v>
          </cell>
          <cell r="G537">
            <v>1487.261784900094</v>
          </cell>
          <cell r="H537">
            <v>1488.6051455113923</v>
          </cell>
          <cell r="I537">
            <v>1489.3235558489159</v>
          </cell>
          <cell r="J537">
            <v>1487.4065542269559</v>
          </cell>
          <cell r="K537">
            <v>1486.1515335058643</v>
          </cell>
          <cell r="L537">
            <v>1486.4430890705012</v>
          </cell>
          <cell r="M537">
            <v>1485.4925788036066</v>
          </cell>
          <cell r="N537">
            <v>1485.1833469958208</v>
          </cell>
        </row>
        <row r="538">
          <cell r="A538" t="str">
            <v>#UMV150470068</v>
          </cell>
          <cell r="B538" t="str">
            <v>#UMV150470068</v>
          </cell>
          <cell r="C538"/>
          <cell r="D538"/>
          <cell r="E538">
            <v>1461.9150845039869</v>
          </cell>
          <cell r="F538">
            <v>1462.6878117830306</v>
          </cell>
          <cell r="G538">
            <v>1459.3027420205872</v>
          </cell>
          <cell r="H538">
            <v>1460.6150665280393</v>
          </cell>
          <cell r="I538">
            <v>1461.314181233241</v>
          </cell>
          <cell r="J538">
            <v>1459.4274498496413</v>
          </cell>
          <cell r="K538">
            <v>1458.1729029843666</v>
          </cell>
          <cell r="L538">
            <v>1458.4531790581905</v>
          </cell>
          <cell r="M538">
            <v>1457.5147777276836</v>
          </cell>
          <cell r="N538">
            <v>1457.2055795162821</v>
          </cell>
        </row>
        <row r="539">
          <cell r="A539" t="str">
            <v>#UMV180370015</v>
          </cell>
          <cell r="B539" t="str">
            <v>#UMV180370015</v>
          </cell>
          <cell r="C539"/>
          <cell r="D539"/>
          <cell r="E539">
            <v>1470.4133881851687</v>
          </cell>
          <cell r="F539">
            <v>1471.1959065720318</v>
          </cell>
          <cell r="G539">
            <v>1467.7929104502302</v>
          </cell>
          <cell r="H539">
            <v>1469.1146360899827</v>
          </cell>
          <cell r="I539">
            <v>1469.8195867211632</v>
          </cell>
          <cell r="J539">
            <v>1467.9236399512661</v>
          </cell>
          <cell r="K539">
            <v>1466.6688553357756</v>
          </cell>
          <cell r="L539">
            <v>1466.9525330257775</v>
          </cell>
          <cell r="M539">
            <v>1466.0104312244589</v>
          </cell>
          <cell r="N539">
            <v>1465.701199303468</v>
          </cell>
        </row>
        <row r="540">
          <cell r="A540" t="str">
            <v>#UMV250270018</v>
          </cell>
          <cell r="B540" t="str">
            <v>#UMV250270018</v>
          </cell>
          <cell r="C540"/>
          <cell r="D540"/>
          <cell r="E540">
            <v>1476.8522396742292</v>
          </cell>
          <cell r="F540">
            <v>1477.642217234079</v>
          </cell>
          <cell r="G540">
            <v>1474.2256524709755</v>
          </cell>
          <cell r="H540">
            <v>1475.5545146695349</v>
          </cell>
          <cell r="I540">
            <v>1476.2639006356553</v>
          </cell>
          <cell r="J540">
            <v>1474.3609852318962</v>
          </cell>
          <cell r="K540">
            <v>1473.1060749871874</v>
          </cell>
          <cell r="L540">
            <v>1473.3923436630369</v>
          </cell>
          <cell r="M540">
            <v>1472.4474517267049</v>
          </cell>
          <cell r="N540">
            <v>1472.1382079166247</v>
          </cell>
        </row>
        <row r="541">
          <cell r="A541" t="str">
            <v>#UMV290370010</v>
          </cell>
          <cell r="B541" t="str">
            <v>#UMV290370010</v>
          </cell>
          <cell r="C541"/>
          <cell r="D541"/>
          <cell r="E541">
            <v>1467.0630124045779</v>
          </cell>
          <cell r="F541">
            <v>1467.8416634212351</v>
          </cell>
          <cell r="G541">
            <v>1464.4457321759155</v>
          </cell>
          <cell r="H541">
            <v>1465.7637490573336</v>
          </cell>
          <cell r="I541">
            <v>1466.4663964787505</v>
          </cell>
          <cell r="J541">
            <v>1464.5740803623453</v>
          </cell>
          <cell r="K541">
            <v>1463.3193797034987</v>
          </cell>
          <cell r="L541">
            <v>1463.6017138806076</v>
          </cell>
          <cell r="M541">
            <v>1462.6610685205151</v>
          </cell>
          <cell r="N541">
            <v>1462.3518474412106</v>
          </cell>
        </row>
        <row r="542">
          <cell r="A542" t="str">
            <v>#UMV040370018</v>
          </cell>
          <cell r="B542" t="str">
            <v>#UMV040370018</v>
          </cell>
          <cell r="C542"/>
          <cell r="D542"/>
          <cell r="E542">
            <v>1474.699699345244</v>
          </cell>
          <cell r="F542">
            <v>1475.4871793510715</v>
          </cell>
          <cell r="G542">
            <v>1472.0751493576395</v>
          </cell>
          <cell r="H542">
            <v>1473.4016244576731</v>
          </cell>
          <cell r="I542">
            <v>1474.1095263577927</v>
          </cell>
          <cell r="J542">
            <v>1472.2089393057979</v>
          </cell>
          <cell r="K542">
            <v>1470.9540658306462</v>
          </cell>
          <cell r="L542">
            <v>1471.2394670119938</v>
          </cell>
          <cell r="M542">
            <v>1470.2955065294291</v>
          </cell>
          <cell r="N542">
            <v>1469.9862653842727</v>
          </cell>
        </row>
        <row r="543">
          <cell r="A543" t="str">
            <v>#UMV110370016</v>
          </cell>
          <cell r="B543" t="str">
            <v>#UMV110370016</v>
          </cell>
          <cell r="C543"/>
          <cell r="D543"/>
          <cell r="E543">
            <v>1472.5534246212524</v>
          </cell>
          <cell r="F543">
            <v>1473.3384182580246</v>
          </cell>
          <cell r="G543">
            <v>1469.9309111296077</v>
          </cell>
          <cell r="H543">
            <v>1471.2550073906154</v>
          </cell>
          <cell r="I543">
            <v>1471.9614308558459</v>
          </cell>
          <cell r="J543">
            <v>1470.0631666757295</v>
          </cell>
          <cell r="K543">
            <v>1468.8083350920438</v>
          </cell>
          <cell r="L543">
            <v>1469.09287261894</v>
          </cell>
          <cell r="M543">
            <v>1468.1498421812321</v>
          </cell>
          <cell r="N543">
            <v>1467.8406050029087</v>
          </cell>
        </row>
        <row r="544">
          <cell r="A544" t="str">
            <v>#UMV210170045</v>
          </cell>
          <cell r="B544" t="str">
            <v>#UMV210170045</v>
          </cell>
          <cell r="C544"/>
          <cell r="D544"/>
          <cell r="E544">
            <v>1487.7098927386889</v>
          </cell>
          <cell r="F544">
            <v>1488.5125281810444</v>
          </cell>
          <cell r="G544">
            <v>1485.0731093640993</v>
          </cell>
          <cell r="H544">
            <v>1486.4140324278569</v>
          </cell>
          <cell r="I544">
            <v>1487.1309242650555</v>
          </cell>
          <cell r="J544">
            <v>1485.2162842610758</v>
          </cell>
          <cell r="K544">
            <v>1483.9612686066782</v>
          </cell>
          <cell r="L544">
            <v>1484.251933154761</v>
          </cell>
          <cell r="M544">
            <v>1483.3023628026283</v>
          </cell>
          <cell r="N544">
            <v>1482.9931256030027</v>
          </cell>
        </row>
        <row r="545">
          <cell r="A545" t="str">
            <v>#UMV210170044</v>
          </cell>
          <cell r="B545" t="str">
            <v>#UMV210170044</v>
          </cell>
          <cell r="C545"/>
          <cell r="D545"/>
          <cell r="E545">
            <v>1487.7098927386889</v>
          </cell>
          <cell r="F545">
            <v>1488.5125281810444</v>
          </cell>
          <cell r="G545">
            <v>1485.0731093640993</v>
          </cell>
          <cell r="H545">
            <v>1486.4140324278569</v>
          </cell>
          <cell r="I545">
            <v>1487.1309242650555</v>
          </cell>
          <cell r="J545">
            <v>1485.2162842610758</v>
          </cell>
          <cell r="K545">
            <v>1483.9612686066782</v>
          </cell>
          <cell r="L545">
            <v>1484.251933154761</v>
          </cell>
          <cell r="M545">
            <v>1483.3023628026283</v>
          </cell>
          <cell r="N545">
            <v>1482.9931256030027</v>
          </cell>
        </row>
        <row r="546">
          <cell r="A546" t="str">
            <v>#UMV180270022</v>
          </cell>
          <cell r="B546" t="str">
            <v>#UMV180270022</v>
          </cell>
          <cell r="C546"/>
          <cell r="D546"/>
          <cell r="E546">
            <v>1479.0110730850213</v>
          </cell>
          <cell r="F546">
            <v>1479.8035594501646</v>
          </cell>
          <cell r="G546">
            <v>1476.3824479662408</v>
          </cell>
          <cell r="H546">
            <v>1477.7137055648313</v>
          </cell>
          <cell r="I546">
            <v>1478.4245812585484</v>
          </cell>
          <cell r="J546">
            <v>1476.5193320048381</v>
          </cell>
          <cell r="K546">
            <v>1475.2643901580598</v>
          </cell>
          <cell r="L546">
            <v>1475.5515301911221</v>
          </cell>
          <cell r="M546">
            <v>1474.6057053917007</v>
          </cell>
          <cell r="N546">
            <v>1474.2964602301151</v>
          </cell>
        </row>
        <row r="547">
          <cell r="A547" t="str">
            <v>#UMV140170018</v>
          </cell>
          <cell r="B547" t="str">
            <v>#UMV140170018</v>
          </cell>
          <cell r="C547"/>
          <cell r="D547"/>
          <cell r="E547">
            <v>1489.9006093835419</v>
          </cell>
          <cell r="F547">
            <v>1490.7058108994086</v>
          </cell>
          <cell r="G547">
            <v>1487.261784900094</v>
          </cell>
          <cell r="H547">
            <v>1488.6051455113923</v>
          </cell>
          <cell r="I547">
            <v>1489.3235558489159</v>
          </cell>
          <cell r="J547">
            <v>1487.4065542269559</v>
          </cell>
          <cell r="K547">
            <v>1486.1515335058643</v>
          </cell>
          <cell r="L547">
            <v>1486.4430890705012</v>
          </cell>
          <cell r="M547">
            <v>1485.4925788036066</v>
          </cell>
          <cell r="N547">
            <v>1485.1833469958208</v>
          </cell>
        </row>
        <row r="548">
          <cell r="A548" t="str">
            <v>#UMV280170011</v>
          </cell>
          <cell r="B548" t="str">
            <v>#UMV280170011</v>
          </cell>
          <cell r="C548"/>
          <cell r="D548"/>
          <cell r="E548">
            <v>1485.5256089968818</v>
          </cell>
          <cell r="F548">
            <v>1486.3256899559526</v>
          </cell>
          <cell r="G548">
            <v>1482.8908661341518</v>
          </cell>
          <cell r="H548">
            <v>1484.2293601661538</v>
          </cell>
          <cell r="I548">
            <v>1484.9447393202636</v>
          </cell>
          <cell r="J548">
            <v>1483.032455343465</v>
          </cell>
          <cell r="K548">
            <v>1481.7774501572712</v>
          </cell>
          <cell r="L548">
            <v>1482.0672276673426</v>
          </cell>
          <cell r="M548">
            <v>1481.118595819072</v>
          </cell>
          <cell r="N548">
            <v>1480.8093546001223</v>
          </cell>
        </row>
        <row r="549">
          <cell r="A549" t="str">
            <v>#UMV070170014</v>
          </cell>
          <cell r="B549" t="str">
            <v>#UMV070170014</v>
          </cell>
          <cell r="C549"/>
          <cell r="D549"/>
          <cell r="E549">
            <v>1492.0977873915267</v>
          </cell>
          <cell r="F549">
            <v>1492.9055666404388</v>
          </cell>
          <cell r="G549">
            <v>1489.4569212235815</v>
          </cell>
          <cell r="H549">
            <v>1490.8027279419273</v>
          </cell>
          <cell r="I549">
            <v>1491.5226626287977</v>
          </cell>
          <cell r="J549">
            <v>1489.6032937793129</v>
          </cell>
          <cell r="K549">
            <v>1488.3482734410939</v>
          </cell>
          <cell r="L549">
            <v>1488.640724024511</v>
          </cell>
          <cell r="M549">
            <v>1487.6892724317399</v>
          </cell>
          <cell r="N549">
            <v>1487.3800474004452</v>
          </cell>
        </row>
        <row r="550">
          <cell r="A550" t="str">
            <v>#UMV070170013</v>
          </cell>
          <cell r="B550" t="str">
            <v>#UMV070170013</v>
          </cell>
          <cell r="C550"/>
          <cell r="D550"/>
          <cell r="E550">
            <v>1492.0977873915267</v>
          </cell>
          <cell r="F550">
            <v>1492.9055666404388</v>
          </cell>
          <cell r="G550">
            <v>1489.4569212235815</v>
          </cell>
          <cell r="H550">
            <v>1490.8027279419273</v>
          </cell>
          <cell r="I550">
            <v>1491.5226626287977</v>
          </cell>
          <cell r="J550">
            <v>1489.6032937793129</v>
          </cell>
          <cell r="K550">
            <v>1488.3482734410939</v>
          </cell>
          <cell r="L550">
            <v>1488.640724024511</v>
          </cell>
          <cell r="M550">
            <v>1487.6892724317399</v>
          </cell>
          <cell r="N550">
            <v>1487.3800474004452</v>
          </cell>
        </row>
        <row r="551">
          <cell r="A551" t="str">
            <v>#UMV050470018</v>
          </cell>
          <cell r="B551" t="str">
            <v>#UMV050470018</v>
          </cell>
          <cell r="C551"/>
          <cell r="D551"/>
          <cell r="E551">
            <v>1464.938892951011</v>
          </cell>
          <cell r="F551">
            <v>1465.7150970109703</v>
          </cell>
          <cell r="G551">
            <v>1462.3236464899917</v>
          </cell>
          <cell r="H551">
            <v>1463.6393136918732</v>
          </cell>
          <cell r="I551">
            <v>1464.3405025438497</v>
          </cell>
          <cell r="J551">
            <v>1462.4504898765877</v>
          </cell>
          <cell r="K551">
            <v>1461.195849035676</v>
          </cell>
          <cell r="L551">
            <v>1461.4773330903201</v>
          </cell>
          <cell r="M551">
            <v>1460.5376127470925</v>
          </cell>
          <cell r="N551">
            <v>1460.2284001918486</v>
          </cell>
        </row>
        <row r="552">
          <cell r="A552" t="str">
            <v>#UMV030270021</v>
          </cell>
          <cell r="B552" t="str">
            <v>#UMV030270021</v>
          </cell>
          <cell r="C552"/>
          <cell r="D552"/>
          <cell r="E552">
            <v>1483.658464404084</v>
          </cell>
          <cell r="F552">
            <v>1484.4563649787649</v>
          </cell>
          <cell r="G552">
            <v>1481.02547006036</v>
          </cell>
          <cell r="H552">
            <v>1482.3618888100839</v>
          </cell>
          <cell r="I552">
            <v>1483.0759759848022</v>
          </cell>
          <cell r="J552">
            <v>1481.1657070242088</v>
          </cell>
          <cell r="K552">
            <v>1479.9107150738023</v>
          </cell>
          <cell r="L552">
            <v>1480.199735414348</v>
          </cell>
          <cell r="M552">
            <v>1479.2519068751865</v>
          </cell>
          <cell r="N552">
            <v>1478.9426632943919</v>
          </cell>
        </row>
        <row r="553">
          <cell r="A553" t="str">
            <v>#UMV010670037</v>
          </cell>
          <cell r="B553" t="str">
            <v>#UMV010670037</v>
          </cell>
          <cell r="C553"/>
          <cell r="D553"/>
          <cell r="E553">
            <v>1447.2770581589677</v>
          </cell>
          <cell r="F553">
            <v>1448.0330643092218</v>
          </cell>
          <cell r="G553">
            <v>1444.6789196019176</v>
          </cell>
          <cell r="H553">
            <v>1445.9750991175506</v>
          </cell>
          <cell r="I553">
            <v>1446.6642097773422</v>
          </cell>
          <cell r="J553">
            <v>1444.7933991910941</v>
          </cell>
          <cell r="K553">
            <v>1443.5394537563545</v>
          </cell>
          <cell r="L553">
            <v>1443.813918927382</v>
          </cell>
          <cell r="M553">
            <v>1442.8819393240215</v>
          </cell>
          <cell r="N553">
            <v>1442.5728472412579</v>
          </cell>
        </row>
        <row r="554">
          <cell r="A554" t="str">
            <v>#UMV290670004</v>
          </cell>
          <cell r="B554" t="str">
            <v>#UMV290670004</v>
          </cell>
          <cell r="C554"/>
          <cell r="D554"/>
          <cell r="E554">
            <v>1439.0433361287116</v>
          </cell>
          <cell r="F554">
            <v>1439.7900167436514</v>
          </cell>
          <cell r="G554">
            <v>1436.4532934581571</v>
          </cell>
          <cell r="H554">
            <v>1437.7404183599574</v>
          </cell>
          <cell r="I554">
            <v>1438.4239286204813</v>
          </cell>
          <cell r="J554">
            <v>1436.5620997790322</v>
          </cell>
          <cell r="K554">
            <v>1435.3085993486186</v>
          </cell>
          <cell r="L554">
            <v>1435.5798227861239</v>
          </cell>
          <cell r="M554">
            <v>1434.6514819058393</v>
          </cell>
          <cell r="N554">
            <v>1434.3424762428847</v>
          </cell>
        </row>
        <row r="555">
          <cell r="A555" t="str">
            <v>#UMV150470071</v>
          </cell>
          <cell r="B555" t="str">
            <v>#UMV150470071</v>
          </cell>
          <cell r="C555"/>
          <cell r="D555"/>
          <cell r="E555">
            <v>1460.7090534822653</v>
          </cell>
          <cell r="F555">
            <v>1461.4803962290935</v>
          </cell>
          <cell r="G555">
            <v>1458.0978721166423</v>
          </cell>
          <cell r="H555">
            <v>1459.4088641318783</v>
          </cell>
          <cell r="I555">
            <v>1460.1071522988921</v>
          </cell>
          <cell r="J555">
            <v>1458.2217303563536</v>
          </cell>
          <cell r="K555">
            <v>1456.9672238636185</v>
          </cell>
          <cell r="L555">
            <v>1457.2470188672289</v>
          </cell>
          <cell r="M555">
            <v>1456.3091443383973</v>
          </cell>
          <cell r="N555">
            <v>1455.999952571982</v>
          </cell>
        </row>
        <row r="556">
          <cell r="A556" t="str">
            <v>#UMV040570009</v>
          </cell>
          <cell r="B556" t="str">
            <v>#UMV040570009</v>
          </cell>
          <cell r="C556"/>
          <cell r="D556"/>
          <cell r="E556">
            <v>1455.6055435704636</v>
          </cell>
          <cell r="F556">
            <v>1456.3710411151617</v>
          </cell>
          <cell r="G556">
            <v>1452.9992938408247</v>
          </cell>
          <cell r="H556">
            <v>1454.3046517814203</v>
          </cell>
          <cell r="I556">
            <v>1454.9994468983055</v>
          </cell>
          <cell r="J556">
            <v>1453.1195705893842</v>
          </cell>
          <cell r="K556">
            <v>1451.8652531865621</v>
          </cell>
          <cell r="L556">
            <v>1452.1430170544913</v>
          </cell>
          <cell r="M556">
            <v>1451.207376314363</v>
          </cell>
          <cell r="N556">
            <v>1450.8982163909288</v>
          </cell>
        </row>
        <row r="557">
          <cell r="A557" t="str">
            <v>#UMV140170021</v>
          </cell>
          <cell r="B557" t="str">
            <v>#UMV140170021</v>
          </cell>
          <cell r="C557"/>
          <cell r="D557"/>
          <cell r="E557">
            <v>1488.6479819427118</v>
          </cell>
          <cell r="F557">
            <v>1489.4517157076164</v>
          </cell>
          <cell r="G557">
            <v>1486.0103238790452</v>
          </cell>
          <cell r="H557">
            <v>1487.3522905607426</v>
          </cell>
          <cell r="I557">
            <v>1488.0698324696318</v>
          </cell>
          <cell r="J557">
            <v>1486.1541810293397</v>
          </cell>
          <cell r="K557">
            <v>1484.8991625393001</v>
          </cell>
          <cell r="L557">
            <v>1485.1902084630747</v>
          </cell>
          <cell r="M557">
            <v>1484.2402354631065</v>
          </cell>
          <cell r="N557">
            <v>1483.9310004055008</v>
          </cell>
        </row>
        <row r="558">
          <cell r="A558" t="str">
            <v>#UMV200470019</v>
          </cell>
          <cell r="B558" t="str">
            <v>#UMV200470019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  <cell r="N558">
            <v>1455.6988574845693</v>
          </cell>
        </row>
        <row r="559">
          <cell r="A559" t="str">
            <v>#UMV200470018</v>
          </cell>
          <cell r="B559" t="str">
            <v>#UMV200470018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  <cell r="N559">
            <v>1455.6988574845693</v>
          </cell>
        </row>
        <row r="560">
          <cell r="A560" t="str">
            <v>#UMV200470017</v>
          </cell>
          <cell r="B560" t="str">
            <v>#UMV200470017</v>
          </cell>
          <cell r="C560"/>
          <cell r="D560"/>
          <cell r="H560">
            <v>1459.1076247510236</v>
          </cell>
          <cell r="I560">
            <v>1459.8057065610462</v>
          </cell>
          <cell r="J560">
            <v>1457.920611705101</v>
          </cell>
          <cell r="K560">
            <v>1456.6661155523495</v>
          </cell>
          <cell r="L560">
            <v>1456.9457904770934</v>
          </cell>
          <cell r="M560">
            <v>1456.0080475769696</v>
          </cell>
          <cell r="N560">
            <v>1455.6988574845693</v>
          </cell>
        </row>
        <row r="561">
          <cell r="A561" t="str">
            <v>#UMV200470016</v>
          </cell>
          <cell r="B561" t="str">
            <v>#UMV200470016</v>
          </cell>
          <cell r="C561"/>
          <cell r="D561"/>
          <cell r="H561">
            <v>1459.1076247510236</v>
          </cell>
          <cell r="I561">
            <v>1459.8057065610462</v>
          </cell>
          <cell r="J561">
            <v>1457.920611705101</v>
          </cell>
          <cell r="K561">
            <v>1456.6661155523495</v>
          </cell>
          <cell r="L561">
            <v>1456.9457904770934</v>
          </cell>
          <cell r="M561">
            <v>1456.0080475769696</v>
          </cell>
          <cell r="N561">
            <v>1455.6988574845693</v>
          </cell>
        </row>
        <row r="562">
          <cell r="A562" t="str">
            <v>#UMV040570010</v>
          </cell>
          <cell r="B562" t="str">
            <v>#UMV040570010</v>
          </cell>
          <cell r="C562"/>
          <cell r="D562"/>
          <cell r="H562">
            <v>1454.9032934677305</v>
          </cell>
          <cell r="I562">
            <v>1455.5984978810893</v>
          </cell>
          <cell r="J562">
            <v>1453.7179707776666</v>
          </cell>
          <cell r="K562">
            <v>1452.4636296695901</v>
          </cell>
          <cell r="L562">
            <v>1452.741631373455</v>
          </cell>
          <cell r="M562">
            <v>1451.8057282645948</v>
          </cell>
          <cell r="N562">
            <v>1451.4965642237983</v>
          </cell>
        </row>
        <row r="563">
          <cell r="A563" t="str">
            <v>#UMV180570011</v>
          </cell>
          <cell r="B563" t="str">
            <v>#UMV180570011</v>
          </cell>
          <cell r="C563"/>
          <cell r="D563"/>
          <cell r="H563">
            <v>1450.7231216283162</v>
          </cell>
          <cell r="I563">
            <v>1451.4154701420141</v>
          </cell>
          <cell r="J563">
            <v>1449.5394894971473</v>
          </cell>
          <cell r="K563">
            <v>1448.2853223988934</v>
          </cell>
          <cell r="L563">
            <v>1448.5616654797934</v>
          </cell>
          <cell r="M563">
            <v>1447.6275965460127</v>
          </cell>
          <cell r="N563">
            <v>1447.3184633799458</v>
          </cell>
        </row>
        <row r="564">
          <cell r="A564" t="str">
            <v>#UMV010670043</v>
          </cell>
          <cell r="B564" t="str">
            <v>#UMV010670043</v>
          </cell>
          <cell r="C564"/>
          <cell r="D564"/>
          <cell r="H564">
            <v>1446.5669015874423</v>
          </cell>
          <cell r="I564">
            <v>1447.2564154711806</v>
          </cell>
          <cell r="J564">
            <v>1445.3849601314394</v>
          </cell>
          <cell r="K564">
            <v>1444.1309856747062</v>
          </cell>
          <cell r="L564">
            <v>1444.4056845622692</v>
          </cell>
          <cell r="M564">
            <v>1443.4734441930509</v>
          </cell>
          <cell r="N564">
            <v>1443.1643466406199</v>
          </cell>
        </row>
        <row r="565">
          <cell r="A565" t="str">
            <v>#UMV220670013</v>
          </cell>
          <cell r="B565" t="str">
            <v>#UMV220670013</v>
          </cell>
          <cell r="C565"/>
          <cell r="D565"/>
          <cell r="H565">
            <v>1440.3770327550985</v>
          </cell>
          <cell r="I565">
            <v>1441.0623340849406</v>
          </cell>
          <cell r="J565">
            <v>1439.1976273448699</v>
          </cell>
          <cell r="K565">
            <v>1437.9439760695666</v>
          </cell>
          <cell r="L565">
            <v>1438.216235360479</v>
          </cell>
          <cell r="M565">
            <v>1437.2867273318166</v>
          </cell>
          <cell r="N565">
            <v>1436.9776919046203</v>
          </cell>
        </row>
      </sheetData>
      <sheetData sheetId="7"/>
      <sheetData sheetId="8"/>
      <sheetData sheetId="9">
        <row r="7">
          <cell r="I7" t="str">
            <v>Resumen - Pagarés Horizonte</v>
          </cell>
        </row>
      </sheetData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 C"/>
      <sheetName val="Renta Fija"/>
      <sheetName val="Valuación"/>
      <sheetName val="Spreads Históricos"/>
      <sheetName val="Precios Históricos"/>
      <sheetName val="Impugnaciones"/>
      <sheetName val="Cortes +1"/>
      <sheetName val="Cortes Cafci"/>
      <sheetName val="Pagarés Horizonte"/>
    </sheetNames>
    <sheetDataSet>
      <sheetData sheetId="0"/>
      <sheetData sheetId="1"/>
      <sheetData sheetId="2"/>
      <sheetData sheetId="3"/>
      <sheetData sheetId="4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</row>
        <row r="2">
          <cell r="B2"/>
          <cell r="C2"/>
          <cell r="D2"/>
          <cell r="E2"/>
          <cell r="F2"/>
          <cell r="G2"/>
          <cell r="H2"/>
          <cell r="I2"/>
          <cell r="J2"/>
          <cell r="K2"/>
        </row>
        <row r="3">
          <cell r="B3"/>
          <cell r="C3"/>
          <cell r="D3"/>
          <cell r="E3"/>
          <cell r="F3"/>
          <cell r="G3"/>
          <cell r="H3"/>
          <cell r="I3"/>
          <cell r="J3"/>
          <cell r="K3"/>
        </row>
        <row r="4">
          <cell r="B4"/>
          <cell r="C4"/>
          <cell r="D4"/>
          <cell r="E4"/>
          <cell r="F4"/>
          <cell r="G4"/>
          <cell r="H4"/>
          <cell r="I4"/>
          <cell r="J4"/>
          <cell r="K4"/>
        </row>
        <row r="5">
          <cell r="B5"/>
          <cell r="C5"/>
          <cell r="D5"/>
          <cell r="E5"/>
          <cell r="F5"/>
          <cell r="G5"/>
          <cell r="H5"/>
          <cell r="I5"/>
          <cell r="J5"/>
          <cell r="K5"/>
        </row>
        <row r="6">
          <cell r="B6"/>
          <cell r="C6">
            <v>46308</v>
          </cell>
          <cell r="D6">
            <v>46309</v>
          </cell>
          <cell r="E6">
            <v>46310</v>
          </cell>
          <cell r="F6">
            <v>46311</v>
          </cell>
          <cell r="G6"/>
          <cell r="H6"/>
          <cell r="I6"/>
          <cell r="J6"/>
          <cell r="K6"/>
        </row>
        <row r="7">
          <cell r="B7" t="str">
            <v>Ticker</v>
          </cell>
          <cell r="C7" t="str">
            <v>Px Hoy</v>
          </cell>
          <cell r="D7" t="str">
            <v>% Hoy</v>
          </cell>
          <cell r="E7" t="str">
            <v>Px Hoy</v>
          </cell>
          <cell r="F7" t="str">
            <v>Px Hoy</v>
          </cell>
          <cell r="G7"/>
          <cell r="H7"/>
          <cell r="I7"/>
          <cell r="J7"/>
          <cell r="K7"/>
        </row>
        <row r="8">
          <cell r="B8"/>
        </row>
        <row r="9">
          <cell r="B9" t="str">
            <v>Bonos Soberanos Hard USD</v>
          </cell>
        </row>
        <row r="10">
          <cell r="B10"/>
        </row>
        <row r="11">
          <cell r="B11" t="str">
            <v>AO27D</v>
          </cell>
          <cell r="C11">
            <v>1.0360251</v>
          </cell>
          <cell r="D11">
            <v>1.0381058000000001</v>
          </cell>
          <cell r="E11">
            <v>1.0370792499999999</v>
          </cell>
          <cell r="F11">
            <v>1.03552318</v>
          </cell>
          <cell r="G11"/>
          <cell r="H11"/>
          <cell r="I11"/>
          <cell r="J11"/>
          <cell r="K11"/>
        </row>
        <row r="12">
          <cell r="B12" t="str">
            <v>AL30D</v>
          </cell>
          <cell r="C12">
            <v>0.56179374999999998</v>
          </cell>
          <cell r="D12">
            <v>0.56207753000000005</v>
          </cell>
          <cell r="E12">
            <v>0.56127616999999996</v>
          </cell>
          <cell r="F12">
            <v>0.55654205999999995</v>
          </cell>
          <cell r="G12"/>
          <cell r="H12"/>
          <cell r="I12"/>
          <cell r="J12"/>
          <cell r="K12"/>
        </row>
        <row r="13">
          <cell r="B13" t="str">
            <v>GD30D</v>
          </cell>
          <cell r="C13">
            <v>0.57678925999999997</v>
          </cell>
          <cell r="D13">
            <v>0.57434536000000003</v>
          </cell>
          <cell r="E13">
            <v>0.57658505999999998</v>
          </cell>
          <cell r="F13">
            <v>0.56936392999999996</v>
          </cell>
          <cell r="G13"/>
          <cell r="H13"/>
          <cell r="I13"/>
          <cell r="J13"/>
          <cell r="K13"/>
        </row>
        <row r="14">
          <cell r="B14" t="str">
            <v>AO28D</v>
          </cell>
          <cell r="C14">
            <v>0.93671409999999999</v>
          </cell>
          <cell r="D14">
            <v>0.93537146999999998</v>
          </cell>
          <cell r="E14">
            <v>0.93966570000000005</v>
          </cell>
          <cell r="F14">
            <v>0.93450034999999998</v>
          </cell>
          <cell r="G14"/>
          <cell r="H14"/>
          <cell r="I14"/>
          <cell r="J14"/>
          <cell r="K14"/>
        </row>
        <row r="15">
          <cell r="B15" t="str">
            <v>AO29D</v>
          </cell>
          <cell r="C15">
            <v>0.86546416000000004</v>
          </cell>
          <cell r="D15">
            <v>0.86496722999999998</v>
          </cell>
          <cell r="E15">
            <v>0.86529741999999998</v>
          </cell>
          <cell r="F15">
            <v>0.85596059000000002</v>
          </cell>
          <cell r="G15"/>
          <cell r="H15"/>
          <cell r="I15"/>
          <cell r="J15"/>
          <cell r="K15"/>
        </row>
        <row r="16">
          <cell r="B16" t="str">
            <v>AN29D</v>
          </cell>
          <cell r="C16">
            <v>0.88362907000000002</v>
          </cell>
          <cell r="D16">
            <v>0.88789361</v>
          </cell>
          <cell r="E16">
            <v>0.88843055999999998</v>
          </cell>
          <cell r="F16">
            <v>0.87563223000000001</v>
          </cell>
          <cell r="G16"/>
          <cell r="H16"/>
          <cell r="I16"/>
          <cell r="J16"/>
          <cell r="K16"/>
        </row>
        <row r="17">
          <cell r="B17" t="str">
            <v>AE38D</v>
          </cell>
          <cell r="C17">
            <v>0.74821859000000002</v>
          </cell>
          <cell r="D17">
            <v>0.74708881000000005</v>
          </cell>
          <cell r="E17">
            <v>0.74904011999999998</v>
          </cell>
          <cell r="F17">
            <v>0.73838075000000003</v>
          </cell>
          <cell r="G17"/>
          <cell r="H17"/>
          <cell r="I17"/>
          <cell r="J17"/>
          <cell r="K17"/>
        </row>
        <row r="18">
          <cell r="B18" t="str">
            <v>GD38D</v>
          </cell>
          <cell r="C18">
            <v>0.80407362000000004</v>
          </cell>
          <cell r="D18">
            <v>0.80542327999999996</v>
          </cell>
          <cell r="E18">
            <v>0.80708986000000005</v>
          </cell>
          <cell r="F18">
            <v>0.79443074999999996</v>
          </cell>
          <cell r="G18"/>
          <cell r="H18"/>
          <cell r="I18"/>
          <cell r="J18"/>
          <cell r="K18"/>
        </row>
        <row r="19">
          <cell r="B19" t="str">
            <v>AL35D</v>
          </cell>
          <cell r="C19">
            <v>0.71347183000000003</v>
          </cell>
          <cell r="D19">
            <v>0.71657627999999995</v>
          </cell>
          <cell r="E19">
            <v>0.71466039000000003</v>
          </cell>
          <cell r="F19">
            <v>0.70594665999999995</v>
          </cell>
          <cell r="G19"/>
          <cell r="H19"/>
          <cell r="I19"/>
          <cell r="J19"/>
          <cell r="K19"/>
        </row>
        <row r="20">
          <cell r="B20" t="str">
            <v>GD35D</v>
          </cell>
          <cell r="C20">
            <v>0.75354429000000001</v>
          </cell>
          <cell r="D20">
            <v>0.75350209999999995</v>
          </cell>
          <cell r="E20">
            <v>0.75481904</v>
          </cell>
          <cell r="F20">
            <v>0.74216093999999999</v>
          </cell>
          <cell r="G20"/>
          <cell r="H20"/>
          <cell r="I20"/>
          <cell r="J20"/>
          <cell r="K20"/>
        </row>
        <row r="21">
          <cell r="B21" t="str">
            <v>AL41D</v>
          </cell>
          <cell r="C21">
            <v>0.66482070000000004</v>
          </cell>
          <cell r="D21">
            <v>0.66890293000000001</v>
          </cell>
          <cell r="E21">
            <v>0.66359541</v>
          </cell>
          <cell r="F21">
            <v>0.65394589000000003</v>
          </cell>
          <cell r="G21"/>
          <cell r="H21"/>
          <cell r="I21"/>
          <cell r="J21"/>
          <cell r="K21"/>
        </row>
        <row r="22">
          <cell r="B22" t="str">
            <v>GD41D</v>
          </cell>
          <cell r="C22">
            <v>0.70152095000000003</v>
          </cell>
          <cell r="D22">
            <v>0.69967833000000001</v>
          </cell>
          <cell r="E22">
            <v>0.69999917</v>
          </cell>
          <cell r="F22">
            <v>0.68774774999999999</v>
          </cell>
          <cell r="G22"/>
          <cell r="H22"/>
          <cell r="I22"/>
          <cell r="J22"/>
          <cell r="K22"/>
        </row>
        <row r="23">
          <cell r="B23" t="str">
            <v>GD46D</v>
          </cell>
          <cell r="C23">
            <v>0.64614099999999997</v>
          </cell>
          <cell r="D23">
            <v>0.64094800000000007</v>
          </cell>
          <cell r="E23">
            <v>0.65143978000000002</v>
          </cell>
          <cell r="F23">
            <v>0.63680778000000005</v>
          </cell>
          <cell r="G23"/>
          <cell r="H23"/>
          <cell r="I23"/>
          <cell r="J23"/>
          <cell r="K23"/>
        </row>
        <row r="24">
          <cell r="B24"/>
          <cell r="C24"/>
          <cell r="D24"/>
          <cell r="E24"/>
          <cell r="F24"/>
          <cell r="G24"/>
          <cell r="H24"/>
          <cell r="I24"/>
          <cell r="J24"/>
          <cell r="K24"/>
        </row>
        <row r="25">
          <cell r="B25" t="str">
            <v>Bonos Soberanos Hard USD - Contra $</v>
          </cell>
          <cell r="C25"/>
          <cell r="D25"/>
          <cell r="E25"/>
          <cell r="F25"/>
          <cell r="G25"/>
          <cell r="H25"/>
          <cell r="I25"/>
          <cell r="J25"/>
          <cell r="K25"/>
        </row>
        <row r="26">
          <cell r="B26"/>
          <cell r="C26"/>
          <cell r="D26"/>
          <cell r="E26"/>
          <cell r="F26"/>
          <cell r="G26"/>
          <cell r="H26"/>
          <cell r="I26"/>
          <cell r="J26"/>
          <cell r="K26"/>
        </row>
        <row r="27">
          <cell r="B27" t="str">
            <v>AO27</v>
          </cell>
          <cell r="C27">
            <v>1592.79702077</v>
          </cell>
          <cell r="D27">
            <v>1594.8311308100001</v>
          </cell>
          <cell r="E27">
            <v>1591.09330303</v>
          </cell>
          <cell r="F27">
            <v>1591.4895195199999</v>
          </cell>
          <cell r="G27"/>
          <cell r="H27"/>
          <cell r="I27"/>
          <cell r="J27"/>
          <cell r="K27"/>
        </row>
        <row r="28">
          <cell r="B28" t="str">
            <v>AL30</v>
          </cell>
          <cell r="C28">
            <v>864.75606281</v>
          </cell>
          <cell r="D28">
            <v>862.83745638000005</v>
          </cell>
          <cell r="E28">
            <v>861.00148597999998</v>
          </cell>
          <cell r="F28">
            <v>854.97026500000004</v>
          </cell>
          <cell r="G28"/>
          <cell r="H28"/>
          <cell r="I28"/>
          <cell r="J28"/>
          <cell r="K28"/>
        </row>
        <row r="29">
          <cell r="B29" t="str">
            <v>GD30</v>
          </cell>
          <cell r="C29">
            <v>886.53170381999996</v>
          </cell>
          <cell r="D29">
            <v>888.6722456</v>
          </cell>
          <cell r="E29">
            <v>882.62682132999998</v>
          </cell>
          <cell r="F29">
            <v>877.62863737999999</v>
          </cell>
          <cell r="G29"/>
          <cell r="H29"/>
          <cell r="I29"/>
          <cell r="J29"/>
          <cell r="K29"/>
        </row>
        <row r="30">
          <cell r="B30" t="str">
            <v>AO28</v>
          </cell>
          <cell r="C30">
            <v>1438.8312240800001</v>
          </cell>
          <cell r="D30">
            <v>1438.85822089</v>
          </cell>
          <cell r="E30">
            <v>1438.7780195600001</v>
          </cell>
          <cell r="F30">
            <v>1436.1981126999999</v>
          </cell>
          <cell r="G30"/>
          <cell r="H30"/>
          <cell r="I30"/>
          <cell r="J30"/>
          <cell r="K30"/>
        </row>
        <row r="31">
          <cell r="B31" t="str">
            <v>AO29</v>
          </cell>
          <cell r="C31">
            <v>1329.02568221</v>
          </cell>
          <cell r="D31">
            <v>1328.9233569</v>
          </cell>
          <cell r="E31">
            <v>1325.6020615499999</v>
          </cell>
          <cell r="F31">
            <v>1314.49627515</v>
          </cell>
          <cell r="G31"/>
          <cell r="H31"/>
          <cell r="I31"/>
          <cell r="J31"/>
          <cell r="K31"/>
        </row>
        <row r="32">
          <cell r="B32" t="str">
            <v>AN29</v>
          </cell>
          <cell r="C32">
            <v>1360.8423058999999</v>
          </cell>
          <cell r="D32">
            <v>1361.5988760299999</v>
          </cell>
          <cell r="E32">
            <v>1362.4184357300001</v>
          </cell>
          <cell r="F32">
            <v>1349.0018693899999</v>
          </cell>
          <cell r="G32"/>
          <cell r="H32"/>
          <cell r="I32"/>
          <cell r="J32"/>
          <cell r="K32"/>
        </row>
        <row r="33">
          <cell r="B33" t="str">
            <v>AE38</v>
          </cell>
          <cell r="C33">
            <v>1149.8317965000001</v>
          </cell>
          <cell r="D33">
            <v>1148.4365979700001</v>
          </cell>
          <cell r="E33">
            <v>1149.5621912199999</v>
          </cell>
          <cell r="F33">
            <v>1133.88519273</v>
          </cell>
          <cell r="G33"/>
          <cell r="H33"/>
          <cell r="I33"/>
          <cell r="J33"/>
          <cell r="K33"/>
        </row>
        <row r="34">
          <cell r="B34" t="str">
            <v>GD38</v>
          </cell>
          <cell r="C34">
            <v>1239.6443126199999</v>
          </cell>
          <cell r="D34">
            <v>1236.60025436</v>
          </cell>
          <cell r="E34">
            <v>1226.0070143400001</v>
          </cell>
          <cell r="F34">
            <v>1226.57130519</v>
          </cell>
          <cell r="G34"/>
          <cell r="H34"/>
          <cell r="I34"/>
          <cell r="J34"/>
          <cell r="K34"/>
        </row>
        <row r="35">
          <cell r="B35" t="str">
            <v>AL35</v>
          </cell>
          <cell r="C35">
            <v>1100.24093103</v>
          </cell>
          <cell r="D35">
            <v>1093.55241922</v>
          </cell>
          <cell r="E35">
            <v>1095.8103650099999</v>
          </cell>
          <cell r="F35">
            <v>1090.5935350499999</v>
          </cell>
          <cell r="G35"/>
          <cell r="H35"/>
          <cell r="I35"/>
          <cell r="J35"/>
          <cell r="K35"/>
        </row>
        <row r="36">
          <cell r="B36" t="str">
            <v>GD35</v>
          </cell>
          <cell r="C36">
            <v>1160.9964968899999</v>
          </cell>
          <cell r="D36">
            <v>1157.1706595999999</v>
          </cell>
          <cell r="E36">
            <v>1158.3793937800001</v>
          </cell>
          <cell r="F36">
            <v>1149.8515734099999</v>
          </cell>
          <cell r="G36"/>
          <cell r="H36"/>
          <cell r="I36"/>
          <cell r="J36"/>
          <cell r="K36"/>
        </row>
        <row r="37">
          <cell r="B37" t="str">
            <v>AL41</v>
          </cell>
          <cell r="C37">
            <v>1016.96146589</v>
          </cell>
          <cell r="D37">
            <v>1014.2167163300001</v>
          </cell>
          <cell r="E37">
            <v>1017.82195867</v>
          </cell>
          <cell r="F37">
            <v>1005.34453086</v>
          </cell>
          <cell r="G37"/>
          <cell r="H37"/>
          <cell r="I37"/>
          <cell r="J37"/>
          <cell r="K37"/>
        </row>
        <row r="38">
          <cell r="B38" t="str">
            <v>GD41</v>
          </cell>
          <cell r="C38">
            <v>1080.73030133</v>
          </cell>
          <cell r="D38">
            <v>1074.1264257800001</v>
          </cell>
          <cell r="E38">
            <v>1074.97352692</v>
          </cell>
          <cell r="F38">
            <v>1057.87734748</v>
          </cell>
          <cell r="G38"/>
          <cell r="H38"/>
          <cell r="I38"/>
          <cell r="J38"/>
          <cell r="K38"/>
        </row>
        <row r="39">
          <cell r="B39" t="str">
            <v>GD46</v>
          </cell>
          <cell r="C39">
            <v>981.48727842999995</v>
          </cell>
          <cell r="D39">
            <v>968.14088769</v>
          </cell>
          <cell r="E39">
            <v>997.86223584000004</v>
          </cell>
          <cell r="F39">
            <v>952.99931094999999</v>
          </cell>
          <cell r="G39"/>
          <cell r="H39"/>
          <cell r="I39"/>
          <cell r="J39"/>
          <cell r="K39"/>
        </row>
        <row r="40">
          <cell r="B40"/>
          <cell r="C40"/>
          <cell r="D40"/>
          <cell r="E40"/>
          <cell r="F40"/>
          <cell r="G40"/>
          <cell r="H40"/>
          <cell r="I40"/>
          <cell r="J40"/>
          <cell r="K40"/>
        </row>
        <row r="41">
          <cell r="B41" t="str">
            <v>Bopreales Hard USD</v>
          </cell>
          <cell r="C41"/>
          <cell r="D41"/>
          <cell r="E41"/>
          <cell r="F41"/>
          <cell r="G41"/>
          <cell r="H41"/>
          <cell r="I41"/>
          <cell r="J41"/>
          <cell r="K41"/>
        </row>
        <row r="42">
          <cell r="B42"/>
          <cell r="C42"/>
          <cell r="D42"/>
          <cell r="E42"/>
          <cell r="F42"/>
          <cell r="G42"/>
          <cell r="H42"/>
          <cell r="I42"/>
          <cell r="J42"/>
          <cell r="K42"/>
        </row>
        <row r="43">
          <cell r="B43" t="str">
            <v>BPOD7D</v>
          </cell>
          <cell r="C43">
            <v>1.04628776</v>
          </cell>
          <cell r="D43">
            <v>1.04851414</v>
          </cell>
          <cell r="E43">
            <v>1.0516578599999999</v>
          </cell>
          <cell r="F43">
            <v>1.0514263100000001</v>
          </cell>
          <cell r="G43"/>
          <cell r="H43"/>
          <cell r="I43"/>
          <cell r="J43"/>
          <cell r="K43"/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</row>
        <row r="45">
          <cell r="B45" t="str">
            <v>Bopreales Hard USD - Contra $</v>
          </cell>
          <cell r="C45"/>
          <cell r="D45"/>
          <cell r="E45"/>
          <cell r="F45"/>
          <cell r="G45"/>
          <cell r="H45"/>
          <cell r="I45"/>
          <cell r="J45"/>
          <cell r="K45"/>
        </row>
        <row r="46">
          <cell r="B46"/>
          <cell r="C46"/>
          <cell r="D46"/>
          <cell r="E46"/>
          <cell r="F46"/>
          <cell r="G46"/>
          <cell r="H46"/>
          <cell r="I46"/>
          <cell r="J46"/>
          <cell r="K46"/>
        </row>
        <row r="47">
          <cell r="B47" t="str">
            <v>BPOD7</v>
          </cell>
          <cell r="C47">
            <v>1601.88519103</v>
          </cell>
          <cell r="D47">
            <v>1610.8617769099999</v>
          </cell>
          <cell r="E47">
            <v>1614.9979780199999</v>
          </cell>
          <cell r="F47">
            <v>1619.31073894</v>
          </cell>
          <cell r="G47"/>
          <cell r="H47"/>
          <cell r="I47"/>
          <cell r="J47"/>
          <cell r="K47"/>
        </row>
        <row r="48">
          <cell r="B48"/>
          <cell r="C48"/>
          <cell r="D48"/>
          <cell r="E48"/>
          <cell r="F48"/>
          <cell r="G48"/>
          <cell r="H48"/>
          <cell r="I48"/>
          <cell r="J48"/>
          <cell r="K48"/>
        </row>
        <row r="49">
          <cell r="B49" t="str">
            <v>Bonos Soberanos Descuento</v>
          </cell>
          <cell r="C49"/>
          <cell r="D49"/>
          <cell r="E49"/>
          <cell r="F49"/>
          <cell r="G49"/>
          <cell r="H49"/>
          <cell r="I49"/>
          <cell r="J49"/>
          <cell r="K49"/>
        </row>
        <row r="50">
          <cell r="B50"/>
          <cell r="C50"/>
          <cell r="D50"/>
          <cell r="E50"/>
          <cell r="F50"/>
          <cell r="G50"/>
          <cell r="H50"/>
          <cell r="I50"/>
          <cell r="J50"/>
          <cell r="K50"/>
        </row>
        <row r="51">
          <cell r="B51" t="str">
            <v>S30O6</v>
          </cell>
          <cell r="C51">
            <v>1.33872407</v>
          </cell>
          <cell r="D51">
            <v>1.33972819</v>
          </cell>
          <cell r="E51">
            <v>1.34352633</v>
          </cell>
          <cell r="F51">
            <v>1.3462190999999999</v>
          </cell>
          <cell r="G51"/>
          <cell r="H51"/>
          <cell r="I51"/>
          <cell r="J51"/>
          <cell r="K51"/>
        </row>
        <row r="52">
          <cell r="B52" t="str">
            <v>S13N6</v>
          </cell>
          <cell r="C52">
            <v>1.07574226</v>
          </cell>
          <cell r="D52">
            <v>1.07599329</v>
          </cell>
          <cell r="E52">
            <v>1.0771898099999999</v>
          </cell>
          <cell r="F52">
            <v>1.07952012</v>
          </cell>
          <cell r="G52"/>
          <cell r="H52"/>
          <cell r="I52"/>
          <cell r="J52"/>
          <cell r="K52"/>
        </row>
        <row r="53">
          <cell r="B53" t="str">
            <v>S30N6</v>
          </cell>
          <cell r="C53">
            <v>1.2606297799999999</v>
          </cell>
          <cell r="D53">
            <v>1.26006102</v>
          </cell>
          <cell r="E53">
            <v>1.2619768200000001</v>
          </cell>
          <cell r="F53">
            <v>1.2652142500000001</v>
          </cell>
          <cell r="G53"/>
          <cell r="H53"/>
          <cell r="I53"/>
          <cell r="J53"/>
          <cell r="K53"/>
        </row>
        <row r="54">
          <cell r="B54" t="str">
            <v>S29E7</v>
          </cell>
          <cell r="C54">
            <v>1.0406137799999999</v>
          </cell>
          <cell r="D54">
            <v>1.04013471</v>
          </cell>
          <cell r="E54">
            <v>1.0380406799999999</v>
          </cell>
          <cell r="F54">
            <v>1.0465052399999999</v>
          </cell>
          <cell r="G54"/>
          <cell r="H54"/>
          <cell r="I54"/>
          <cell r="J54"/>
          <cell r="K54"/>
        </row>
        <row r="55">
          <cell r="B55"/>
          <cell r="C55"/>
          <cell r="D55"/>
          <cell r="E55"/>
          <cell r="F55"/>
          <cell r="G55"/>
          <cell r="H55"/>
          <cell r="I55"/>
          <cell r="J55"/>
          <cell r="K55"/>
        </row>
        <row r="56">
          <cell r="B56" t="str">
            <v>Bonos Soberanos Tasa Fija</v>
          </cell>
          <cell r="C56"/>
          <cell r="D56"/>
          <cell r="E56"/>
          <cell r="F56"/>
          <cell r="G56"/>
          <cell r="H56"/>
          <cell r="I56"/>
          <cell r="J56"/>
          <cell r="K56"/>
        </row>
        <row r="57">
          <cell r="B57"/>
          <cell r="C57"/>
          <cell r="D57"/>
          <cell r="E57"/>
          <cell r="F57"/>
          <cell r="G57"/>
          <cell r="H57"/>
          <cell r="I57"/>
          <cell r="J57"/>
          <cell r="K57"/>
        </row>
        <row r="58">
          <cell r="B58" t="str">
            <v>T15E7</v>
          </cell>
          <cell r="C58">
            <v>1.51469338</v>
          </cell>
          <cell r="D58">
            <v>1.51396376</v>
          </cell>
          <cell r="E58">
            <v>1.51818404</v>
          </cell>
          <cell r="F58">
            <v>1.5226219299999999</v>
          </cell>
          <cell r="G58"/>
          <cell r="H58"/>
          <cell r="I58"/>
          <cell r="J58"/>
          <cell r="K58"/>
        </row>
        <row r="59">
          <cell r="B59" t="str">
            <v>T30A7</v>
          </cell>
          <cell r="C59">
            <v>1.3711843500000001</v>
          </cell>
          <cell r="D59">
            <v>1.37126331</v>
          </cell>
          <cell r="E59">
            <v>1.3748229700000001</v>
          </cell>
          <cell r="F59">
            <v>1.3789722900000001</v>
          </cell>
          <cell r="G59"/>
          <cell r="H59"/>
          <cell r="I59"/>
          <cell r="J59"/>
          <cell r="K59"/>
        </row>
        <row r="60">
          <cell r="B60" t="str">
            <v>T31Y7</v>
          </cell>
          <cell r="C60">
            <v>1.2911038800000001</v>
          </cell>
          <cell r="D60">
            <v>1.291304</v>
          </cell>
          <cell r="E60">
            <v>1.29516952</v>
          </cell>
          <cell r="F60">
            <v>1.29837176</v>
          </cell>
          <cell r="G60"/>
          <cell r="H60"/>
          <cell r="I60"/>
          <cell r="J60"/>
          <cell r="K60"/>
        </row>
        <row r="61">
          <cell r="B61" t="str">
            <v>T30J7</v>
          </cell>
          <cell r="C61">
            <v>1.3084733</v>
          </cell>
          <cell r="D61">
            <v>1.3090459999999999</v>
          </cell>
          <cell r="E61">
            <v>1.3161225700000001</v>
          </cell>
          <cell r="F61">
            <v>1.31940788</v>
          </cell>
          <cell r="G61"/>
          <cell r="H61"/>
          <cell r="I61"/>
          <cell r="J61"/>
          <cell r="K61"/>
        </row>
        <row r="62">
          <cell r="B62" t="str">
            <v>TY30P</v>
          </cell>
          <cell r="C62">
            <v>1.1243672300000001</v>
          </cell>
          <cell r="D62">
            <v>1.12451721</v>
          </cell>
          <cell r="E62">
            <v>1.12853263</v>
          </cell>
          <cell r="F62">
            <v>1.1321099800000001</v>
          </cell>
          <cell r="G62"/>
          <cell r="H62"/>
          <cell r="I62"/>
          <cell r="J62"/>
          <cell r="K62"/>
        </row>
        <row r="63">
          <cell r="B63"/>
          <cell r="C63"/>
          <cell r="D63"/>
          <cell r="E63"/>
          <cell r="F63"/>
          <cell r="G63"/>
          <cell r="H63"/>
          <cell r="I63"/>
          <cell r="J63"/>
          <cell r="K63"/>
        </row>
        <row r="64">
          <cell r="B64" t="str">
            <v>Bonos Soberanos Tasa Fija - Tamar</v>
          </cell>
          <cell r="C64"/>
          <cell r="D64"/>
          <cell r="E64"/>
          <cell r="F64"/>
          <cell r="G64"/>
          <cell r="H64"/>
          <cell r="I64"/>
          <cell r="J64"/>
          <cell r="K64"/>
        </row>
        <row r="65">
          <cell r="B65"/>
          <cell r="C65"/>
          <cell r="D65"/>
          <cell r="E65"/>
          <cell r="F65"/>
          <cell r="G65"/>
          <cell r="H65"/>
          <cell r="I65"/>
          <cell r="J65"/>
          <cell r="K65"/>
        </row>
        <row r="66">
          <cell r="B66" t="str">
            <v>TTD26</v>
          </cell>
          <cell r="C66">
            <v>1.73490835</v>
          </cell>
          <cell r="D66">
            <v>1.7361256</v>
          </cell>
          <cell r="E66">
            <v>1.73837219</v>
          </cell>
          <cell r="F66">
            <v>1.74290945</v>
          </cell>
          <cell r="G66"/>
          <cell r="H66"/>
          <cell r="I66"/>
          <cell r="J66"/>
          <cell r="K66"/>
        </row>
        <row r="67">
          <cell r="B67"/>
          <cell r="C67"/>
          <cell r="D67"/>
          <cell r="E67"/>
          <cell r="F67"/>
          <cell r="G67"/>
          <cell r="H67"/>
          <cell r="I67"/>
          <cell r="J67"/>
          <cell r="K67"/>
        </row>
        <row r="68">
          <cell r="B68" t="str">
            <v>Bonos Soberanos TAMAR</v>
          </cell>
          <cell r="C68"/>
          <cell r="D68"/>
          <cell r="E68"/>
          <cell r="F68"/>
          <cell r="G68"/>
          <cell r="H68"/>
          <cell r="I68"/>
          <cell r="J68"/>
          <cell r="K68"/>
        </row>
        <row r="69">
          <cell r="B69"/>
          <cell r="C69"/>
          <cell r="D69"/>
          <cell r="E69"/>
          <cell r="F69"/>
          <cell r="G69"/>
          <cell r="H69"/>
          <cell r="I69"/>
          <cell r="J69"/>
          <cell r="K69"/>
        </row>
        <row r="70">
          <cell r="B70" t="str">
            <v>TMF27</v>
          </cell>
          <cell r="C70">
            <v>1.25371196</v>
          </cell>
          <cell r="D70">
            <v>1.25551919</v>
          </cell>
          <cell r="E70">
            <v>1.2569410700000001</v>
          </cell>
          <cell r="F70">
            <v>1.2600124800000001</v>
          </cell>
          <cell r="G70"/>
          <cell r="H70"/>
          <cell r="I70"/>
          <cell r="J70"/>
          <cell r="K70"/>
        </row>
        <row r="71">
          <cell r="B71" t="str">
            <v>TML27</v>
          </cell>
          <cell r="C71">
            <v>1.1039651500000001</v>
          </cell>
          <cell r="D71">
            <v>1.1058990500000001</v>
          </cell>
          <cell r="E71">
            <v>1.11006571</v>
          </cell>
          <cell r="F71">
            <v>1.1138335500000001</v>
          </cell>
          <cell r="G71"/>
          <cell r="H71"/>
          <cell r="I71"/>
          <cell r="J71"/>
          <cell r="K71"/>
        </row>
        <row r="72">
          <cell r="B72" t="str">
            <v>TMG27</v>
          </cell>
          <cell r="C72">
            <v>1.1985055600000001</v>
          </cell>
          <cell r="D72">
            <v>1.2144920800000001</v>
          </cell>
          <cell r="E72">
            <v>1.19223097</v>
          </cell>
          <cell r="F72">
            <v>1.21671774</v>
          </cell>
          <cell r="G72"/>
          <cell r="H72"/>
          <cell r="I72"/>
          <cell r="J72"/>
          <cell r="K72"/>
        </row>
        <row r="73">
          <cell r="B73" t="str">
            <v>TMG28</v>
          </cell>
          <cell r="C73">
            <v>1.0950016899999999</v>
          </cell>
          <cell r="D73">
            <v>1.09678115</v>
          </cell>
          <cell r="E73">
            <v>1.0989572999999999</v>
          </cell>
          <cell r="F73">
            <v>1.1029992200000001</v>
          </cell>
          <cell r="G73"/>
          <cell r="H73"/>
          <cell r="I73"/>
          <cell r="J73"/>
          <cell r="K73"/>
        </row>
        <row r="74">
          <cell r="B74"/>
          <cell r="C74"/>
          <cell r="D74"/>
          <cell r="E74"/>
          <cell r="F74"/>
          <cell r="G74"/>
          <cell r="H74"/>
          <cell r="I74"/>
          <cell r="J74"/>
          <cell r="K74"/>
        </row>
        <row r="75">
          <cell r="B75" t="str">
            <v>Bonos Soberanos CER - TAMAR</v>
          </cell>
          <cell r="C75"/>
          <cell r="D75"/>
          <cell r="E75"/>
          <cell r="F75"/>
          <cell r="G75"/>
          <cell r="H75"/>
          <cell r="I75"/>
          <cell r="J75"/>
          <cell r="K75"/>
        </row>
        <row r="76">
          <cell r="B76"/>
          <cell r="C76"/>
          <cell r="D76"/>
          <cell r="E76"/>
          <cell r="F76"/>
          <cell r="G76"/>
          <cell r="H76"/>
          <cell r="I76"/>
          <cell r="J76"/>
          <cell r="K76"/>
        </row>
        <row r="77">
          <cell r="B77" t="str">
            <v>TXMJ8</v>
          </cell>
          <cell r="C77">
            <v>1.02199806</v>
          </cell>
          <cell r="D77">
            <v>1.0274458</v>
          </cell>
          <cell r="E77">
            <v>1.03762362</v>
          </cell>
          <cell r="F77">
            <v>1.0315076000000001</v>
          </cell>
          <cell r="G77"/>
          <cell r="H77"/>
          <cell r="I77"/>
          <cell r="J77"/>
          <cell r="K77"/>
        </row>
        <row r="78">
          <cell r="B78" t="str">
            <v>TXMD8</v>
          </cell>
          <cell r="C78">
            <v>0.96665522999999998</v>
          </cell>
          <cell r="D78">
            <v>0.96450336000000003</v>
          </cell>
          <cell r="E78">
            <v>0.96818355</v>
          </cell>
          <cell r="F78">
            <v>0.97351443999999998</v>
          </cell>
          <cell r="G78"/>
          <cell r="H78"/>
          <cell r="I78"/>
          <cell r="J78"/>
          <cell r="K78"/>
        </row>
        <row r="79">
          <cell r="B79" t="str">
            <v>TXMJ9</v>
          </cell>
          <cell r="C79">
            <v>0.95099005999999997</v>
          </cell>
          <cell r="D79">
            <v>0.94799836999999998</v>
          </cell>
          <cell r="E79">
            <v>0.95349207999999996</v>
          </cell>
          <cell r="F79">
            <v>0.95150161</v>
          </cell>
          <cell r="G79"/>
          <cell r="H79"/>
          <cell r="I79"/>
          <cell r="J79"/>
          <cell r="K79"/>
        </row>
        <row r="80">
          <cell r="B80" t="str">
            <v>TXMD9</v>
          </cell>
          <cell r="C80">
            <v>0.88075758000000004</v>
          </cell>
          <cell r="D80">
            <v>0.89402550000000003</v>
          </cell>
          <cell r="E80">
            <v>0.88072028999999996</v>
          </cell>
          <cell r="F80">
            <v>0.88239148999999995</v>
          </cell>
          <cell r="G80"/>
          <cell r="H80"/>
          <cell r="I80"/>
          <cell r="J80"/>
          <cell r="K80"/>
        </row>
        <row r="81">
          <cell r="B81" t="str">
            <v>TXMJ0</v>
          </cell>
          <cell r="C81">
            <v>0.85107635000000004</v>
          </cell>
          <cell r="D81">
            <v>0.84943804999999994</v>
          </cell>
          <cell r="E81">
            <v>0.85084764000000002</v>
          </cell>
          <cell r="F81">
            <v>0.85519813</v>
          </cell>
          <cell r="G81"/>
          <cell r="H81"/>
          <cell r="I81"/>
          <cell r="J81"/>
          <cell r="K81"/>
        </row>
        <row r="82">
          <cell r="B82"/>
          <cell r="C82"/>
          <cell r="D82"/>
          <cell r="E82"/>
          <cell r="F82"/>
          <cell r="G82"/>
          <cell r="H82"/>
          <cell r="I82"/>
          <cell r="J82"/>
          <cell r="K82"/>
        </row>
        <row r="83">
          <cell r="B83" t="str">
            <v>Bonos Soberanos CER - TAMAR</v>
          </cell>
          <cell r="C83"/>
          <cell r="D83"/>
          <cell r="E83"/>
          <cell r="F83"/>
          <cell r="G83"/>
          <cell r="H83"/>
          <cell r="I83"/>
          <cell r="J83"/>
          <cell r="K83"/>
        </row>
        <row r="84">
          <cell r="B84"/>
          <cell r="C84"/>
          <cell r="D84"/>
          <cell r="E84"/>
          <cell r="F84"/>
          <cell r="G84"/>
          <cell r="H84"/>
          <cell r="I84"/>
          <cell r="J84"/>
          <cell r="K84"/>
        </row>
        <row r="85">
          <cell r="B85" t="str">
            <v>TZXO6</v>
          </cell>
          <cell r="C85">
            <v>1.7623381</v>
          </cell>
          <cell r="D85">
            <v>1.7637749700000001</v>
          </cell>
          <cell r="E85">
            <v>1.7654263699999999</v>
          </cell>
          <cell r="F85">
            <v>1.7683830599999999</v>
          </cell>
          <cell r="G85"/>
          <cell r="H85"/>
          <cell r="I85"/>
          <cell r="J85"/>
          <cell r="K85"/>
        </row>
        <row r="86">
          <cell r="B86" t="str">
            <v>TX26</v>
          </cell>
          <cell r="C86">
            <v>7.5624884000000003</v>
          </cell>
          <cell r="D86">
            <v>7.5575154199999997</v>
          </cell>
          <cell r="E86">
            <v>7.56998792</v>
          </cell>
          <cell r="F86">
            <v>7.58483529</v>
          </cell>
          <cell r="G86"/>
          <cell r="H86"/>
          <cell r="I86"/>
          <cell r="J86"/>
          <cell r="K86"/>
        </row>
        <row r="87">
          <cell r="B87" t="str">
            <v>X30N6</v>
          </cell>
          <cell r="C87">
            <v>1.2802404700000001</v>
          </cell>
          <cell r="D87">
            <v>1.2795586299999999</v>
          </cell>
          <cell r="E87">
            <v>1.2819699200000001</v>
          </cell>
          <cell r="F87">
            <v>1.2836386500000001</v>
          </cell>
          <cell r="G87"/>
          <cell r="H87"/>
          <cell r="I87"/>
          <cell r="J87"/>
          <cell r="K87"/>
        </row>
        <row r="88">
          <cell r="B88" t="str">
            <v>TZXD6</v>
          </cell>
          <cell r="C88">
            <v>3.1112957200000002</v>
          </cell>
          <cell r="D88">
            <v>3.1114337299999999</v>
          </cell>
          <cell r="E88">
            <v>3.1146038800000002</v>
          </cell>
          <cell r="F88">
            <v>3.1203581699999998</v>
          </cell>
          <cell r="G88"/>
          <cell r="H88"/>
          <cell r="I88"/>
          <cell r="J88"/>
          <cell r="K88"/>
        </row>
        <row r="89">
          <cell r="B89" t="str">
            <v>X29E7</v>
          </cell>
          <cell r="C89">
            <v>1.0300585799999999</v>
          </cell>
          <cell r="D89">
            <v>1.0310101599999999</v>
          </cell>
          <cell r="E89">
            <v>1.0331343399999999</v>
          </cell>
          <cell r="F89">
            <v>1.03549508</v>
          </cell>
          <cell r="G89"/>
          <cell r="H89"/>
          <cell r="I89"/>
          <cell r="J89"/>
          <cell r="K89"/>
        </row>
        <row r="90">
          <cell r="B90" t="str">
            <v>TZXM7</v>
          </cell>
          <cell r="C90">
            <v>2.3164136499999999</v>
          </cell>
          <cell r="D90">
            <v>2.3176589000000001</v>
          </cell>
          <cell r="E90">
            <v>2.32076708</v>
          </cell>
          <cell r="F90">
            <v>2.3275179000000001</v>
          </cell>
          <cell r="G90"/>
          <cell r="H90"/>
          <cell r="I90"/>
          <cell r="J90"/>
          <cell r="K90"/>
        </row>
        <row r="91">
          <cell r="B91" t="str">
            <v>TZXA7</v>
          </cell>
          <cell r="C91">
            <v>1.2767506399999999</v>
          </cell>
          <cell r="D91">
            <v>1.2759046999999999</v>
          </cell>
          <cell r="E91">
            <v>1.27900002</v>
          </cell>
          <cell r="F91">
            <v>1.28355018</v>
          </cell>
          <cell r="G91"/>
          <cell r="H91"/>
          <cell r="I91"/>
          <cell r="J91"/>
          <cell r="K91"/>
        </row>
        <row r="92">
          <cell r="B92" t="str">
            <v>TZXY7</v>
          </cell>
          <cell r="C92">
            <v>1.25503353</v>
          </cell>
          <cell r="D92">
            <v>1.2571690799999999</v>
          </cell>
          <cell r="E92">
            <v>1.2612713499999999</v>
          </cell>
          <cell r="F92">
            <v>1.26553798</v>
          </cell>
          <cell r="G92"/>
          <cell r="H92"/>
          <cell r="I92"/>
          <cell r="J92"/>
          <cell r="K92"/>
        </row>
        <row r="93">
          <cell r="B93" t="str">
            <v>TZX27</v>
          </cell>
          <cell r="C93">
            <v>4.1012386899999997</v>
          </cell>
          <cell r="D93">
            <v>4.1108232600000001</v>
          </cell>
          <cell r="E93">
            <v>4.1311680300000004</v>
          </cell>
          <cell r="F93">
            <v>4.1422743400000002</v>
          </cell>
          <cell r="G93"/>
          <cell r="H93"/>
          <cell r="I93"/>
          <cell r="J93"/>
          <cell r="K93"/>
        </row>
        <row r="94">
          <cell r="B94" t="str">
            <v>TZXS7</v>
          </cell>
          <cell r="C94">
            <v>1.11720251</v>
          </cell>
          <cell r="D94">
            <v>1.11769702</v>
          </cell>
          <cell r="E94">
            <v>1.1179114699999999</v>
          </cell>
          <cell r="F94">
            <v>1.12251531</v>
          </cell>
          <cell r="G94"/>
          <cell r="H94"/>
          <cell r="I94"/>
          <cell r="J94"/>
          <cell r="K94"/>
        </row>
        <row r="95">
          <cell r="B95" t="str">
            <v>TZXO7</v>
          </cell>
          <cell r="C95"/>
          <cell r="D95"/>
          <cell r="E95">
            <v>1.01900017</v>
          </cell>
          <cell r="F95">
            <v>1.022858</v>
          </cell>
          <cell r="G95"/>
          <cell r="H95"/>
          <cell r="I95"/>
          <cell r="J95"/>
          <cell r="K95"/>
        </row>
        <row r="96">
          <cell r="B96" t="str">
            <v>TZXD7</v>
          </cell>
          <cell r="C96">
            <v>2.8698494600000002</v>
          </cell>
          <cell r="D96">
            <v>2.8709852200000001</v>
          </cell>
          <cell r="E96">
            <v>2.8797034799999999</v>
          </cell>
          <cell r="F96">
            <v>2.8944077400000001</v>
          </cell>
          <cell r="G96"/>
          <cell r="H96"/>
          <cell r="I96"/>
          <cell r="J96"/>
          <cell r="K96"/>
        </row>
        <row r="97">
          <cell r="B97" t="str">
            <v>TZXM8</v>
          </cell>
          <cell r="C97">
            <v>1.0318006099999999</v>
          </cell>
          <cell r="D97">
            <v>1.0349810399999999</v>
          </cell>
          <cell r="E97">
            <v>1.0330397499999999</v>
          </cell>
          <cell r="F97">
            <v>1.0364715200000001</v>
          </cell>
          <cell r="G97"/>
          <cell r="H97"/>
          <cell r="I97"/>
          <cell r="J97"/>
          <cell r="K97"/>
        </row>
        <row r="98">
          <cell r="B98" t="str">
            <v>TZX28</v>
          </cell>
          <cell r="C98">
            <v>3.6202291299999998</v>
          </cell>
          <cell r="D98">
            <v>3.6150677500000001</v>
          </cell>
          <cell r="E98">
            <v>3.6075141899999998</v>
          </cell>
          <cell r="F98">
            <v>3.6288336999999999</v>
          </cell>
          <cell r="G98"/>
          <cell r="H98"/>
          <cell r="I98"/>
          <cell r="J98"/>
          <cell r="K98"/>
        </row>
        <row r="99">
          <cell r="B99" t="str">
            <v>TZXS8</v>
          </cell>
          <cell r="C99">
            <v>0.98119071000000002</v>
          </cell>
          <cell r="D99">
            <v>0.98136414999999999</v>
          </cell>
          <cell r="E99">
            <v>0.98050603999999997</v>
          </cell>
          <cell r="F99">
            <v>0.98391406000000003</v>
          </cell>
          <cell r="G99"/>
          <cell r="H99"/>
          <cell r="I99"/>
          <cell r="J99"/>
          <cell r="K99"/>
        </row>
        <row r="100">
          <cell r="B100" t="str">
            <v>TZXD8</v>
          </cell>
          <cell r="C100">
            <v>0.87646520000000006</v>
          </cell>
          <cell r="D100">
            <v>0.87050196999999996</v>
          </cell>
          <cell r="E100">
            <v>0.87024263000000002</v>
          </cell>
          <cell r="F100">
            <v>0.87450035000000004</v>
          </cell>
          <cell r="G100"/>
          <cell r="H100"/>
          <cell r="I100"/>
          <cell r="J100"/>
          <cell r="K100"/>
        </row>
        <row r="101">
          <cell r="B101" t="str">
            <v>TZXM9</v>
          </cell>
          <cell r="C101">
            <v>0.93078998999999996</v>
          </cell>
          <cell r="D101">
            <v>0.927176</v>
          </cell>
          <cell r="E101">
            <v>0.92350297999999997</v>
          </cell>
          <cell r="F101">
            <v>0.92281038999999998</v>
          </cell>
          <cell r="G101"/>
          <cell r="H101"/>
          <cell r="I101"/>
          <cell r="J101"/>
          <cell r="K101"/>
        </row>
        <row r="102">
          <cell r="B102" t="str">
            <v>DICP</v>
          </cell>
          <cell r="C102">
            <v>493.52011914000002</v>
          </cell>
          <cell r="D102">
            <v>490.22198803999999</v>
          </cell>
          <cell r="E102">
            <v>492.52084660999998</v>
          </cell>
          <cell r="F102">
            <v>493.00786839</v>
          </cell>
          <cell r="G102"/>
          <cell r="H102"/>
          <cell r="I102"/>
          <cell r="J102"/>
          <cell r="K102"/>
        </row>
        <row r="103">
          <cell r="B103"/>
          <cell r="C103"/>
          <cell r="D103"/>
          <cell r="E103"/>
          <cell r="F103"/>
          <cell r="G103"/>
          <cell r="H103"/>
          <cell r="I103"/>
          <cell r="J103"/>
          <cell r="K103"/>
        </row>
        <row r="104">
          <cell r="B104" t="str">
            <v>Bonos Soberanos Dólar Linked</v>
          </cell>
          <cell r="C104"/>
          <cell r="D104"/>
          <cell r="E104"/>
          <cell r="F104"/>
          <cell r="G104"/>
          <cell r="H104"/>
          <cell r="I104"/>
          <cell r="J104"/>
          <cell r="K104"/>
        </row>
        <row r="105"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</row>
        <row r="106">
          <cell r="B106" t="str">
            <v>D30O6</v>
          </cell>
          <cell r="C106">
            <v>1510.6740583400001</v>
          </cell>
          <cell r="D106">
            <v>1510.13660411</v>
          </cell>
          <cell r="E106">
            <v>1509.6619639</v>
          </cell>
          <cell r="F106">
            <v>1516.84319138</v>
          </cell>
          <cell r="G106"/>
          <cell r="H106"/>
          <cell r="I106"/>
          <cell r="J106"/>
          <cell r="K106"/>
        </row>
        <row r="107">
          <cell r="B107" t="str">
            <v>D30N6</v>
          </cell>
          <cell r="C107">
            <v>1510.3867922300001</v>
          </cell>
          <cell r="D107">
            <v>1506.36603313</v>
          </cell>
          <cell r="E107">
            <v>1506.0263081000001</v>
          </cell>
          <cell r="F107">
            <v>1512.13535409</v>
          </cell>
          <cell r="G107"/>
          <cell r="H107"/>
          <cell r="I107"/>
          <cell r="J107"/>
          <cell r="K107"/>
        </row>
        <row r="108">
          <cell r="B108"/>
          <cell r="C108"/>
          <cell r="D108"/>
          <cell r="E108"/>
          <cell r="F108"/>
          <cell r="G108"/>
          <cell r="H108"/>
          <cell r="I108"/>
          <cell r="J108"/>
          <cell r="K108"/>
        </row>
        <row r="109">
          <cell r="B109" t="str">
            <v>Bonos Soberanos Dólar Linked - TAMAR</v>
          </cell>
          <cell r="C109"/>
          <cell r="D109"/>
          <cell r="E109"/>
          <cell r="F109"/>
          <cell r="G109"/>
          <cell r="H109"/>
          <cell r="I109"/>
          <cell r="J109"/>
          <cell r="K109"/>
        </row>
        <row r="110">
          <cell r="B110"/>
          <cell r="C110"/>
          <cell r="D110"/>
          <cell r="E110"/>
          <cell r="F110"/>
          <cell r="G110"/>
          <cell r="H110"/>
          <cell r="I110"/>
          <cell r="J110"/>
          <cell r="K110"/>
        </row>
        <row r="111">
          <cell r="B111" t="str">
            <v>TMVE8</v>
          </cell>
          <cell r="C111">
            <v>1436.15407448</v>
          </cell>
          <cell r="D111">
            <v>1435.2872485299999</v>
          </cell>
          <cell r="E111">
            <v>1439.95640652</v>
          </cell>
          <cell r="F111">
            <v>1444.99797601</v>
          </cell>
          <cell r="G111"/>
          <cell r="H111"/>
          <cell r="I111"/>
          <cell r="J111"/>
          <cell r="K111"/>
        </row>
        <row r="112">
          <cell r="B112"/>
          <cell r="C112"/>
          <cell r="D112"/>
          <cell r="E112"/>
          <cell r="F112"/>
          <cell r="G112"/>
          <cell r="H112"/>
          <cell r="I112"/>
          <cell r="J112"/>
          <cell r="K112"/>
        </row>
        <row r="113">
          <cell r="B113" t="str">
            <v>Títulos Provinciales CER</v>
          </cell>
          <cell r="C113"/>
          <cell r="D113"/>
          <cell r="E113"/>
          <cell r="F113"/>
          <cell r="G113"/>
          <cell r="H113"/>
          <cell r="I113"/>
          <cell r="J113"/>
          <cell r="K113"/>
        </row>
        <row r="114"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</row>
        <row r="115">
          <cell r="B115" t="str">
            <v>COY27</v>
          </cell>
          <cell r="C115">
            <v>2.3437330799999998</v>
          </cell>
          <cell r="D115">
            <v>2.3443107699999999</v>
          </cell>
          <cell r="E115">
            <v>2.3470424200000002</v>
          </cell>
          <cell r="F115">
            <v>2.3526704199999999</v>
          </cell>
          <cell r="G115"/>
          <cell r="H115"/>
          <cell r="I115"/>
          <cell r="J115"/>
          <cell r="K115"/>
        </row>
        <row r="116"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</row>
        <row r="117">
          <cell r="B117" t="str">
            <v>Títulos Provinciales Tamar</v>
          </cell>
          <cell r="C117"/>
          <cell r="D117"/>
          <cell r="E117"/>
          <cell r="F117"/>
          <cell r="G117"/>
          <cell r="H117"/>
          <cell r="I117"/>
          <cell r="J117"/>
          <cell r="K117"/>
        </row>
        <row r="118"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</row>
        <row r="119">
          <cell r="B119" t="str">
            <v>CO2D7</v>
          </cell>
          <cell r="C119">
            <v>1.00682308</v>
          </cell>
          <cell r="D119">
            <v>1.011112</v>
          </cell>
          <cell r="E119">
            <v>1.0042496999999999</v>
          </cell>
          <cell r="F119">
            <v>1.0018229299999999</v>
          </cell>
          <cell r="G119"/>
          <cell r="H119"/>
          <cell r="I119"/>
          <cell r="J119"/>
          <cell r="K119"/>
        </row>
        <row r="120"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</row>
        <row r="121">
          <cell r="B121" t="str">
            <v>Títulos Provinciales Hard USD</v>
          </cell>
          <cell r="C121"/>
          <cell r="D121"/>
          <cell r="E121"/>
          <cell r="F121"/>
          <cell r="G121"/>
          <cell r="H121"/>
          <cell r="I121"/>
          <cell r="J121"/>
          <cell r="K121"/>
        </row>
        <row r="122"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</row>
        <row r="123">
          <cell r="B123" t="str">
            <v>SJO5D</v>
          </cell>
          <cell r="C123">
            <v>1.0218382500000001</v>
          </cell>
          <cell r="D123">
            <v>1.0340084899999999</v>
          </cell>
          <cell r="E123">
            <v>1.0389999999999999</v>
          </cell>
          <cell r="F123">
            <v>1.0365</v>
          </cell>
          <cell r="G123"/>
          <cell r="H123"/>
          <cell r="I123"/>
          <cell r="J123"/>
          <cell r="K123"/>
        </row>
        <row r="124"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</row>
        <row r="125">
          <cell r="B125" t="str">
            <v>Títulos Provinciales Hard USD - Contra $</v>
          </cell>
          <cell r="C125"/>
          <cell r="D125"/>
          <cell r="E125"/>
          <cell r="F125"/>
          <cell r="G125"/>
          <cell r="H125"/>
          <cell r="I125"/>
          <cell r="J125"/>
          <cell r="K125"/>
        </row>
        <row r="126"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</row>
        <row r="127">
          <cell r="B127" t="str">
            <v>SJO35</v>
          </cell>
          <cell r="C127">
            <v>1589.6180757499999</v>
          </cell>
          <cell r="D127">
            <v>1589.1344104899999</v>
          </cell>
          <cell r="E127">
            <v>1591.1037980999999</v>
          </cell>
          <cell r="F127">
            <v>1592.1</v>
          </cell>
          <cell r="G127"/>
          <cell r="H127"/>
          <cell r="I127"/>
          <cell r="J127"/>
          <cell r="K127"/>
        </row>
        <row r="128"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</row>
        <row r="129">
          <cell r="B129" t="str">
            <v>Obligaciones Negociables Badlar</v>
          </cell>
          <cell r="C129"/>
          <cell r="D129"/>
          <cell r="E129"/>
          <cell r="F129"/>
          <cell r="G129"/>
          <cell r="H129"/>
          <cell r="I129"/>
          <cell r="J129"/>
          <cell r="K129"/>
        </row>
        <row r="130"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</row>
        <row r="131">
          <cell r="B131" t="str">
            <v>CH9BO</v>
          </cell>
          <cell r="C131">
            <v>1.0000000000000001E-9</v>
          </cell>
          <cell r="D131">
            <v>1.0000000000000001E-9</v>
          </cell>
          <cell r="E131">
            <v>1.0000000000000001E-9</v>
          </cell>
          <cell r="F131">
            <v>1.0000000000000001E-9</v>
          </cell>
          <cell r="G131"/>
          <cell r="H131"/>
          <cell r="I131"/>
          <cell r="J131"/>
          <cell r="K131"/>
        </row>
        <row r="132">
          <cell r="B132" t="str">
            <v>DRSEO</v>
          </cell>
          <cell r="C132">
            <v>1.0000000000000001E-9</v>
          </cell>
          <cell r="D132">
            <v>1.0000000000000001E-9</v>
          </cell>
          <cell r="E132">
            <v>1.0000000000000001E-9</v>
          </cell>
          <cell r="F132">
            <v>1.0000000000000001E-9</v>
          </cell>
          <cell r="G132"/>
          <cell r="H132"/>
          <cell r="I132"/>
          <cell r="J132"/>
          <cell r="K132"/>
        </row>
        <row r="133">
          <cell r="B133" t="str">
            <v>DRDCO</v>
          </cell>
          <cell r="C133">
            <v>1.0000000000000001E-9</v>
          </cell>
          <cell r="D133">
            <v>1.0000000000000001E-9</v>
          </cell>
          <cell r="E133">
            <v>1.0000000000000001E-9</v>
          </cell>
          <cell r="F133">
            <v>1.0000000000000001E-9</v>
          </cell>
          <cell r="G133"/>
          <cell r="H133"/>
          <cell r="I133"/>
          <cell r="J133"/>
          <cell r="K133"/>
        </row>
        <row r="134">
          <cell r="B134"/>
          <cell r="C134"/>
          <cell r="D134"/>
          <cell r="E134"/>
          <cell r="F134"/>
          <cell r="G134"/>
          <cell r="H134"/>
          <cell r="I134"/>
          <cell r="J134"/>
          <cell r="K134"/>
        </row>
        <row r="135">
          <cell r="B135" t="str">
            <v>Obligaciones Negociables Tamar</v>
          </cell>
          <cell r="C135"/>
          <cell r="D135"/>
          <cell r="E135"/>
          <cell r="F135"/>
          <cell r="G135"/>
          <cell r="H135"/>
          <cell r="I135"/>
          <cell r="J135"/>
          <cell r="K135"/>
        </row>
        <row r="136">
          <cell r="B136"/>
          <cell r="C136"/>
          <cell r="D136"/>
          <cell r="E136"/>
          <cell r="F136"/>
          <cell r="G136"/>
          <cell r="H136"/>
          <cell r="I136"/>
          <cell r="J136"/>
          <cell r="K136"/>
        </row>
        <row r="137">
          <cell r="B137" t="str">
            <v>IP11P</v>
          </cell>
          <cell r="C137">
            <v>0.72347819999999996</v>
          </cell>
          <cell r="D137">
            <v>0.72350983999999996</v>
          </cell>
          <cell r="E137">
            <v>0.72354353999999999</v>
          </cell>
          <cell r="F137">
            <v>0.72539081999999999</v>
          </cell>
          <cell r="G137"/>
          <cell r="H137"/>
          <cell r="I137"/>
          <cell r="J137"/>
          <cell r="K137"/>
        </row>
        <row r="138">
          <cell r="B138" t="str">
            <v>LMS1P</v>
          </cell>
          <cell r="C138">
            <v>0.52572383</v>
          </cell>
          <cell r="D138">
            <v>0.52565543000000003</v>
          </cell>
          <cell r="E138">
            <v>0.52558945999999995</v>
          </cell>
          <cell r="F138">
            <v>0.52710683999999997</v>
          </cell>
          <cell r="G138"/>
          <cell r="H138"/>
          <cell r="I138"/>
          <cell r="J138"/>
          <cell r="K138"/>
        </row>
        <row r="139">
          <cell r="B139" t="str">
            <v>PES1L</v>
          </cell>
          <cell r="C139">
            <v>0.75859759000000004</v>
          </cell>
          <cell r="D139">
            <v>0.75848504000000005</v>
          </cell>
          <cell r="E139">
            <v>0.75841413000000002</v>
          </cell>
          <cell r="F139">
            <v>0.76078657999999999</v>
          </cell>
          <cell r="G139"/>
          <cell r="H139"/>
          <cell r="I139"/>
          <cell r="J139"/>
          <cell r="K139"/>
        </row>
        <row r="140">
          <cell r="B140" t="str">
            <v>FSS1L</v>
          </cell>
          <cell r="C140">
            <v>0.79584991999999999</v>
          </cell>
          <cell r="D140">
            <v>0.79578269999999995</v>
          </cell>
          <cell r="E140">
            <v>0.79576190999999996</v>
          </cell>
          <cell r="F140">
            <v>0.79822181000000003</v>
          </cell>
          <cell r="G140"/>
          <cell r="H140"/>
          <cell r="I140"/>
          <cell r="J140"/>
          <cell r="K140"/>
        </row>
        <row r="141">
          <cell r="B141" t="str">
            <v>DJS1L</v>
          </cell>
          <cell r="C141">
            <v>0.77332666999999999</v>
          </cell>
          <cell r="D141">
            <v>0.77325524999999995</v>
          </cell>
          <cell r="E141">
            <v>0.77325999000000001</v>
          </cell>
          <cell r="F141">
            <v>0.77590689999999995</v>
          </cell>
          <cell r="G141"/>
          <cell r="H141"/>
          <cell r="I141"/>
          <cell r="J141"/>
          <cell r="K141"/>
        </row>
        <row r="142">
          <cell r="B142" t="str">
            <v>CZ11L</v>
          </cell>
          <cell r="C142">
            <v>1.0553835</v>
          </cell>
          <cell r="D142">
            <v>1.05528574</v>
          </cell>
          <cell r="E142">
            <v>1.0552803500000001</v>
          </cell>
          <cell r="F142">
            <v>1.0588335099999999</v>
          </cell>
          <cell r="G142"/>
          <cell r="H142"/>
          <cell r="I142"/>
          <cell r="J142"/>
          <cell r="K142"/>
        </row>
        <row r="143">
          <cell r="B143" t="str">
            <v>AKS1L</v>
          </cell>
          <cell r="C143">
            <v>1.03270832</v>
          </cell>
          <cell r="D143">
            <v>1.03269403</v>
          </cell>
          <cell r="E143">
            <v>1.0328490699999999</v>
          </cell>
          <cell r="F143">
            <v>1.0365567</v>
          </cell>
          <cell r="G143"/>
          <cell r="H143"/>
          <cell r="I143"/>
          <cell r="J143"/>
          <cell r="K143"/>
        </row>
        <row r="144">
          <cell r="B144" t="str">
            <v>SQS1L</v>
          </cell>
          <cell r="C144">
            <v>1.0404317000000001</v>
          </cell>
          <cell r="D144">
            <v>1.04066057</v>
          </cell>
          <cell r="E144">
            <v>1.0409950400000001</v>
          </cell>
          <cell r="F144">
            <v>1.0447749799999999</v>
          </cell>
          <cell r="G144"/>
          <cell r="H144"/>
          <cell r="I144"/>
          <cell r="J144"/>
          <cell r="K144"/>
        </row>
        <row r="145">
          <cell r="B145" t="str">
            <v>CHS1L</v>
          </cell>
          <cell r="C145">
            <v>1.0380264100000001</v>
          </cell>
          <cell r="D145">
            <v>1.0385156</v>
          </cell>
          <cell r="E145">
            <v>1.0391166999999999</v>
          </cell>
          <cell r="F145">
            <v>1.04295012</v>
          </cell>
          <cell r="G145"/>
          <cell r="H145"/>
          <cell r="I145"/>
          <cell r="J145"/>
          <cell r="K145"/>
        </row>
        <row r="146">
          <cell r="B146" t="str">
            <v>GES2L</v>
          </cell>
          <cell r="C146">
            <v>1.01313042</v>
          </cell>
          <cell r="D146">
            <v>1.0138199000000001</v>
          </cell>
          <cell r="E146">
            <v>1.01455333</v>
          </cell>
          <cell r="F146">
            <v>1.0184451999999999</v>
          </cell>
          <cell r="G146"/>
          <cell r="H146"/>
          <cell r="I146"/>
          <cell r="J146"/>
          <cell r="K146"/>
        </row>
        <row r="147">
          <cell r="B147" t="str">
            <v>AKS2L</v>
          </cell>
          <cell r="C147">
            <v>1.0210932500000001</v>
          </cell>
          <cell r="D147">
            <v>1.02183008</v>
          </cell>
          <cell r="E147">
            <v>1.0225688900000001</v>
          </cell>
          <cell r="F147">
            <v>1.0265210899999999</v>
          </cell>
          <cell r="G147"/>
          <cell r="H147"/>
          <cell r="I147"/>
          <cell r="J147"/>
          <cell r="K147"/>
        </row>
        <row r="148">
          <cell r="B148" t="str">
            <v>SXC5O</v>
          </cell>
          <cell r="C148">
            <v>1.0416804399999999</v>
          </cell>
          <cell r="D148">
            <v>1.04211338</v>
          </cell>
          <cell r="E148">
            <v>1.0427256</v>
          </cell>
          <cell r="F148">
            <v>1.04508752</v>
          </cell>
          <cell r="G148"/>
          <cell r="H148"/>
          <cell r="I148"/>
          <cell r="J148"/>
          <cell r="K148"/>
        </row>
        <row r="149">
          <cell r="B149" t="str">
            <v>BF38O</v>
          </cell>
          <cell r="C149">
            <v>1.0427479399999999</v>
          </cell>
          <cell r="D149">
            <v>1.0431640799999999</v>
          </cell>
          <cell r="E149">
            <v>1.0437741599999999</v>
          </cell>
          <cell r="F149">
            <v>1.04614922</v>
          </cell>
          <cell r="G149"/>
          <cell r="H149"/>
          <cell r="I149"/>
          <cell r="J149"/>
          <cell r="K149"/>
        </row>
        <row r="150">
          <cell r="B150" t="str">
            <v>RC3CO</v>
          </cell>
          <cell r="C150">
            <v>1.0229330299999999</v>
          </cell>
          <cell r="D150">
            <v>1.0231831199999999</v>
          </cell>
          <cell r="E150">
            <v>1.0237667399999999</v>
          </cell>
          <cell r="F150">
            <v>1.02617626</v>
          </cell>
          <cell r="G150"/>
          <cell r="H150"/>
          <cell r="I150"/>
          <cell r="J150"/>
          <cell r="K150"/>
        </row>
        <row r="151">
          <cell r="B151" t="str">
            <v>SXC3O</v>
          </cell>
          <cell r="C151">
            <v>1.0418843600000001</v>
          </cell>
          <cell r="D151">
            <v>1.0418474499999999</v>
          </cell>
          <cell r="E151">
            <v>1.0426073899999999</v>
          </cell>
          <cell r="F151">
            <v>1.04507686</v>
          </cell>
          <cell r="G151"/>
          <cell r="H151"/>
          <cell r="I151"/>
          <cell r="J151"/>
          <cell r="K151"/>
        </row>
        <row r="152">
          <cell r="B152" t="str">
            <v>RC4CO</v>
          </cell>
          <cell r="C152">
            <v>1.0399309699999999</v>
          </cell>
          <cell r="D152">
            <v>1.0398908</v>
          </cell>
          <cell r="E152">
            <v>1.0406574900000001</v>
          </cell>
          <cell r="F152">
            <v>1.04311697</v>
          </cell>
          <cell r="G152"/>
          <cell r="H152"/>
          <cell r="I152"/>
          <cell r="J152"/>
          <cell r="K152"/>
        </row>
        <row r="153">
          <cell r="B153" t="str">
            <v>BF41O</v>
          </cell>
          <cell r="C153">
            <v>1.0326270399999999</v>
          </cell>
          <cell r="D153">
            <v>1.03256036</v>
          </cell>
          <cell r="E153">
            <v>1.0333524999999999</v>
          </cell>
          <cell r="F153">
            <v>1.0357871299999999</v>
          </cell>
          <cell r="G153"/>
          <cell r="H153"/>
          <cell r="I153"/>
          <cell r="J153"/>
          <cell r="K153"/>
        </row>
        <row r="154">
          <cell r="B154" t="str">
            <v>ICC5O</v>
          </cell>
          <cell r="C154">
            <v>1.02720042</v>
          </cell>
          <cell r="D154">
            <v>1.0249474700000001</v>
          </cell>
          <cell r="E154">
            <v>1.0276000000000001</v>
          </cell>
          <cell r="F154">
            <v>1.0298</v>
          </cell>
          <cell r="G154"/>
          <cell r="H154"/>
          <cell r="I154"/>
          <cell r="J154"/>
          <cell r="K154"/>
        </row>
        <row r="155">
          <cell r="B155" t="str">
            <v>BNCXO</v>
          </cell>
          <cell r="C155">
            <v>1.0585499</v>
          </cell>
          <cell r="D155">
            <v>1.05843607</v>
          </cell>
          <cell r="E155">
            <v>1.0595428499999999</v>
          </cell>
          <cell r="F155">
            <v>1.0618552000000001</v>
          </cell>
          <cell r="G155"/>
          <cell r="H155"/>
          <cell r="I155"/>
          <cell r="J155"/>
          <cell r="K155"/>
        </row>
        <row r="156">
          <cell r="B156" t="str">
            <v>NZC1O</v>
          </cell>
          <cell r="C156">
            <v>1.05490405</v>
          </cell>
          <cell r="D156">
            <v>1.05477927</v>
          </cell>
          <cell r="E156">
            <v>1.0559662299999999</v>
          </cell>
          <cell r="F156">
            <v>1.0582192100000001</v>
          </cell>
          <cell r="G156"/>
          <cell r="H156"/>
          <cell r="I156"/>
          <cell r="J156"/>
          <cell r="K156"/>
        </row>
        <row r="157">
          <cell r="B157" t="str">
            <v>SXC6O</v>
          </cell>
          <cell r="C157">
            <v>1.0409401199999999</v>
          </cell>
          <cell r="D157">
            <v>1.0408089199999999</v>
          </cell>
          <cell r="E157">
            <v>1.04203168</v>
          </cell>
          <cell r="F157">
            <v>1.04422477</v>
          </cell>
          <cell r="G157"/>
          <cell r="H157"/>
          <cell r="I157"/>
          <cell r="J157"/>
          <cell r="K157"/>
        </row>
        <row r="158">
          <cell r="B158" t="str">
            <v>BF46O</v>
          </cell>
          <cell r="C158">
            <v>1.0401907500000001</v>
          </cell>
          <cell r="D158">
            <v>1.0400550900000001</v>
          </cell>
          <cell r="E158">
            <v>1.04129808</v>
          </cell>
          <cell r="F158">
            <v>1.0434783599999999</v>
          </cell>
          <cell r="G158"/>
          <cell r="H158"/>
          <cell r="I158"/>
          <cell r="J158"/>
          <cell r="K158"/>
        </row>
        <row r="159">
          <cell r="B159" t="str">
            <v>ICC7O</v>
          </cell>
          <cell r="C159">
            <v>1.0188102699999999</v>
          </cell>
          <cell r="D159">
            <v>1.0186833900000001</v>
          </cell>
          <cell r="E159">
            <v>1.0201025399999999</v>
          </cell>
          <cell r="F159">
            <v>1.0221022900000001</v>
          </cell>
          <cell r="G159"/>
          <cell r="H159"/>
          <cell r="I159"/>
          <cell r="J159"/>
          <cell r="K159"/>
        </row>
        <row r="160">
          <cell r="B160" t="str">
            <v>BNCYO</v>
          </cell>
          <cell r="C160">
            <v>1.01419393</v>
          </cell>
          <cell r="D160">
            <v>1.01407077</v>
          </cell>
          <cell r="E160">
            <v>1.01553128</v>
          </cell>
          <cell r="F160">
            <v>1.0174897199999999</v>
          </cell>
          <cell r="G160"/>
          <cell r="H160"/>
          <cell r="I160"/>
          <cell r="J160"/>
          <cell r="K160"/>
        </row>
        <row r="161">
          <cell r="B161" t="str">
            <v>BYY1O</v>
          </cell>
          <cell r="C161">
            <v>1.02799375</v>
          </cell>
          <cell r="D161">
            <v>1.02785967</v>
          </cell>
          <cell r="E161">
            <v>1.0292133800000001</v>
          </cell>
          <cell r="F161">
            <v>1.03128552</v>
          </cell>
          <cell r="G161"/>
          <cell r="H161"/>
          <cell r="I161"/>
          <cell r="J161"/>
          <cell r="K161"/>
        </row>
        <row r="162">
          <cell r="B162" t="str">
            <v>BF47O</v>
          </cell>
          <cell r="C162">
            <v>1.0242925300000001</v>
          </cell>
          <cell r="D162">
            <v>1.0241639899999999</v>
          </cell>
          <cell r="E162">
            <v>1.02553563</v>
          </cell>
          <cell r="F162">
            <v>1.02758186</v>
          </cell>
          <cell r="G162"/>
          <cell r="H162"/>
          <cell r="I162"/>
          <cell r="J162"/>
          <cell r="K162"/>
        </row>
        <row r="163">
          <cell r="B163" t="str">
            <v>NZC4O</v>
          </cell>
          <cell r="C163">
            <v>0.99809844000000003</v>
          </cell>
          <cell r="D163">
            <v>0.99909999999999999</v>
          </cell>
          <cell r="E163">
            <v>0.99960552000000003</v>
          </cell>
          <cell r="F163">
            <v>1.002</v>
          </cell>
          <cell r="G163"/>
          <cell r="H163"/>
          <cell r="I163"/>
          <cell r="J163"/>
          <cell r="K163"/>
        </row>
        <row r="164">
          <cell r="B164" t="str">
            <v>SXC8O</v>
          </cell>
          <cell r="C164">
            <v>1.04262736</v>
          </cell>
          <cell r="D164">
            <v>1.04262557</v>
          </cell>
          <cell r="E164">
            <v>1.0445905</v>
          </cell>
          <cell r="F164">
            <v>1.0462603100000001</v>
          </cell>
          <cell r="G164"/>
          <cell r="H164"/>
          <cell r="I164"/>
          <cell r="J164"/>
          <cell r="K164"/>
        </row>
        <row r="165">
          <cell r="B165" t="str">
            <v>PWC1O</v>
          </cell>
          <cell r="C165">
            <v>1.0206278499999999</v>
          </cell>
          <cell r="D165">
            <v>1.02066981</v>
          </cell>
          <cell r="E165">
            <v>1.0228161899999999</v>
          </cell>
          <cell r="F165">
            <v>1.0254000000000001</v>
          </cell>
          <cell r="G165"/>
          <cell r="H165"/>
          <cell r="I165"/>
          <cell r="J165"/>
          <cell r="K165"/>
        </row>
        <row r="166">
          <cell r="B166" t="str">
            <v>T661O</v>
          </cell>
          <cell r="C166">
            <v>1.0376017399999999</v>
          </cell>
          <cell r="D166">
            <v>1.03810056</v>
          </cell>
          <cell r="E166">
            <v>1.0384274099999999</v>
          </cell>
          <cell r="F166">
            <v>1.0409014700000001</v>
          </cell>
          <cell r="G166"/>
          <cell r="H166"/>
          <cell r="I166"/>
          <cell r="J166"/>
          <cell r="K166"/>
        </row>
        <row r="167">
          <cell r="B167" t="str">
            <v>PS35O</v>
          </cell>
          <cell r="C167">
            <v>1.0218905899999999</v>
          </cell>
          <cell r="D167">
            <v>1.0223061499999999</v>
          </cell>
          <cell r="E167">
            <v>1.0225028300000001</v>
          </cell>
          <cell r="F167">
            <v>1.02502596</v>
          </cell>
          <cell r="G167"/>
          <cell r="H167"/>
          <cell r="I167"/>
          <cell r="J167"/>
          <cell r="K167"/>
        </row>
        <row r="168">
          <cell r="B168" t="str">
            <v>T671O</v>
          </cell>
          <cell r="C168">
            <v>1.0462758299999999</v>
          </cell>
          <cell r="D168">
            <v>1.0467737100000001</v>
          </cell>
          <cell r="E168">
            <v>1.0468067700000001</v>
          </cell>
          <cell r="F168">
            <v>1.04922439</v>
          </cell>
          <cell r="G168"/>
          <cell r="H168"/>
          <cell r="I168"/>
          <cell r="J168"/>
          <cell r="K168"/>
        </row>
        <row r="169">
          <cell r="B169" t="str">
            <v>PVC6O</v>
          </cell>
          <cell r="C169">
            <v>1.0291127200000001</v>
          </cell>
          <cell r="D169">
            <v>1.0296504200000001</v>
          </cell>
          <cell r="E169">
            <v>1.0297029099999999</v>
          </cell>
          <cell r="F169">
            <v>1.0320201499999999</v>
          </cell>
          <cell r="G169"/>
          <cell r="H169"/>
          <cell r="I169"/>
          <cell r="J169"/>
          <cell r="K169"/>
        </row>
        <row r="170">
          <cell r="B170" t="str">
            <v>DHSLO</v>
          </cell>
          <cell r="C170">
            <v>1.0337551899999999</v>
          </cell>
          <cell r="D170">
            <v>1.0343106</v>
          </cell>
          <cell r="E170">
            <v>1.0355306799999999</v>
          </cell>
          <cell r="F170">
            <v>1.0377476800000001</v>
          </cell>
          <cell r="G170"/>
          <cell r="H170"/>
          <cell r="I170"/>
          <cell r="J170"/>
          <cell r="K170"/>
        </row>
        <row r="171">
          <cell r="B171" t="str">
            <v>DEC3O</v>
          </cell>
          <cell r="C171">
            <v>1.00978598</v>
          </cell>
          <cell r="D171">
            <v>1.0104558699999999</v>
          </cell>
          <cell r="E171">
            <v>1.0119178799999999</v>
          </cell>
          <cell r="F171">
            <v>1.01386971</v>
          </cell>
          <cell r="G171"/>
          <cell r="H171"/>
          <cell r="I171"/>
          <cell r="J171"/>
          <cell r="K171"/>
        </row>
        <row r="172"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</row>
        <row r="173">
          <cell r="B173" t="str">
            <v>Obligaciones Negociables Tasa Fija - Tamar</v>
          </cell>
          <cell r="C173"/>
          <cell r="D173"/>
          <cell r="E173"/>
          <cell r="F173"/>
          <cell r="G173"/>
          <cell r="H173"/>
          <cell r="I173"/>
          <cell r="J173"/>
          <cell r="K173"/>
        </row>
        <row r="174"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</row>
        <row r="175">
          <cell r="B175" t="str">
            <v>DHSNO</v>
          </cell>
          <cell r="C175">
            <v>1.04151094</v>
          </cell>
          <cell r="D175">
            <v>1.0423825200000001</v>
          </cell>
          <cell r="E175">
            <v>1.044184</v>
          </cell>
          <cell r="F175">
            <v>1.0459506700000001</v>
          </cell>
          <cell r="G175"/>
          <cell r="H175"/>
          <cell r="I175"/>
          <cell r="J175"/>
          <cell r="K175"/>
        </row>
        <row r="176">
          <cell r="B176"/>
          <cell r="C176"/>
          <cell r="D176"/>
          <cell r="E176"/>
          <cell r="F176"/>
          <cell r="G176"/>
          <cell r="H176"/>
          <cell r="I176"/>
          <cell r="J176"/>
          <cell r="K176"/>
        </row>
        <row r="177">
          <cell r="B177" t="str">
            <v>Obligaciones Negociables UVA</v>
          </cell>
          <cell r="C177"/>
          <cell r="D177"/>
          <cell r="E177"/>
          <cell r="F177"/>
          <cell r="G177"/>
          <cell r="H177"/>
          <cell r="I177"/>
          <cell r="J177"/>
          <cell r="K177"/>
        </row>
        <row r="178">
          <cell r="B178"/>
          <cell r="C178"/>
          <cell r="D178"/>
          <cell r="E178"/>
          <cell r="F178"/>
          <cell r="G178"/>
          <cell r="H178"/>
          <cell r="I178"/>
          <cell r="J178"/>
          <cell r="K178"/>
        </row>
        <row r="179">
          <cell r="B179" t="str">
            <v>NZC3O</v>
          </cell>
          <cell r="C179">
            <v>2116.3930080199998</v>
          </cell>
          <cell r="D179">
            <v>2113.8288562500002</v>
          </cell>
          <cell r="E179">
            <v>2118.5280772699998</v>
          </cell>
          <cell r="F179">
            <v>2121.5238482999998</v>
          </cell>
          <cell r="G179"/>
          <cell r="H179"/>
          <cell r="I179"/>
          <cell r="J179"/>
          <cell r="K179"/>
        </row>
        <row r="180">
          <cell r="B180" t="str">
            <v>COC5O</v>
          </cell>
          <cell r="C180">
            <v>2141.0043724500001</v>
          </cell>
          <cell r="D180">
            <v>2140.5396022999998</v>
          </cell>
          <cell r="E180">
            <v>2146.28289739</v>
          </cell>
          <cell r="F180">
            <v>2149.3259518099999</v>
          </cell>
          <cell r="G180"/>
          <cell r="H180"/>
          <cell r="I180"/>
          <cell r="J180"/>
          <cell r="K180"/>
        </row>
        <row r="181">
          <cell r="B181" t="str">
            <v>SNSDP</v>
          </cell>
          <cell r="C181">
            <v>728.29265477000001</v>
          </cell>
          <cell r="D181">
            <v>728.78515178999999</v>
          </cell>
          <cell r="E181">
            <v>729.26271441999995</v>
          </cell>
          <cell r="F181">
            <v>729.89396164000004</v>
          </cell>
          <cell r="G181"/>
          <cell r="H181"/>
          <cell r="I181"/>
          <cell r="J181"/>
          <cell r="K181"/>
        </row>
        <row r="182">
          <cell r="B182"/>
          <cell r="C182"/>
          <cell r="D182"/>
          <cell r="E182"/>
          <cell r="F182"/>
          <cell r="G182"/>
          <cell r="H182"/>
          <cell r="I182"/>
          <cell r="J182"/>
          <cell r="K182"/>
        </row>
        <row r="183">
          <cell r="B183" t="str">
            <v>Obligaciones Negociables Hard USD - LA</v>
          </cell>
          <cell r="C183"/>
          <cell r="D183"/>
          <cell r="E183"/>
          <cell r="F183"/>
          <cell r="G183"/>
          <cell r="H183"/>
          <cell r="I183"/>
          <cell r="J183"/>
          <cell r="K183"/>
        </row>
        <row r="184"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</row>
        <row r="185">
          <cell r="B185" t="str">
            <v>VE2LD</v>
          </cell>
          <cell r="C185">
            <v>0.99514579999999997</v>
          </cell>
          <cell r="D185">
            <v>0.99501465</v>
          </cell>
          <cell r="E185">
            <v>0.99539613999999998</v>
          </cell>
          <cell r="F185">
            <v>0.99684158</v>
          </cell>
          <cell r="G185"/>
          <cell r="H185"/>
          <cell r="I185"/>
          <cell r="J185"/>
          <cell r="K185"/>
        </row>
        <row r="186">
          <cell r="B186" t="str">
            <v>NA1LD</v>
          </cell>
          <cell r="C186">
            <v>0.97171328999999995</v>
          </cell>
          <cell r="D186">
            <v>0.97134748000000004</v>
          </cell>
          <cell r="E186">
            <v>0.97145917000000004</v>
          </cell>
          <cell r="F186">
            <v>0.97331555999999997</v>
          </cell>
          <cell r="G186"/>
          <cell r="H186"/>
          <cell r="I186"/>
          <cell r="J186"/>
          <cell r="K186"/>
        </row>
        <row r="187">
          <cell r="B187" t="str">
            <v>OR1LD</v>
          </cell>
          <cell r="C187">
            <v>0.98406587999999995</v>
          </cell>
          <cell r="D187">
            <v>0.98376483000000003</v>
          </cell>
          <cell r="E187">
            <v>0.98370358000000002</v>
          </cell>
          <cell r="F187">
            <v>0.98546233000000005</v>
          </cell>
          <cell r="G187"/>
          <cell r="H187"/>
          <cell r="I187"/>
          <cell r="J187"/>
          <cell r="K187"/>
        </row>
        <row r="188">
          <cell r="B188" t="str">
            <v>HJCFD</v>
          </cell>
          <cell r="C188">
            <v>1.0245947500000001</v>
          </cell>
          <cell r="D188">
            <v>1.0247494100000001</v>
          </cell>
          <cell r="E188">
            <v>1.0265</v>
          </cell>
          <cell r="F188">
            <v>1.02494372</v>
          </cell>
          <cell r="G188"/>
          <cell r="H188"/>
          <cell r="I188"/>
          <cell r="J188"/>
          <cell r="K188"/>
        </row>
        <row r="189">
          <cell r="B189" t="str">
            <v>BYCWD</v>
          </cell>
          <cell r="C189">
            <v>1.0293151300000001</v>
          </cell>
          <cell r="D189">
            <v>1.0299484400000001</v>
          </cell>
          <cell r="E189">
            <v>1.03051501</v>
          </cell>
          <cell r="F189">
            <v>1.0325</v>
          </cell>
          <cell r="G189"/>
          <cell r="H189"/>
          <cell r="I189"/>
          <cell r="J189"/>
          <cell r="K189"/>
        </row>
        <row r="190">
          <cell r="B190" t="str">
            <v>BYCXD</v>
          </cell>
          <cell r="C190">
            <v>1.0225602499999999</v>
          </cell>
          <cell r="D190">
            <v>1.0234306500000001</v>
          </cell>
          <cell r="E190">
            <v>1.0242492000000001</v>
          </cell>
          <cell r="F190">
            <v>1.0233189199999999</v>
          </cell>
          <cell r="G190"/>
          <cell r="H190"/>
          <cell r="I190"/>
          <cell r="J190"/>
          <cell r="K190"/>
        </row>
        <row r="191">
          <cell r="B191" t="str">
            <v>YM41D</v>
          </cell>
          <cell r="C191">
            <v>1.00259959</v>
          </cell>
          <cell r="D191">
            <v>1.0035715000000001</v>
          </cell>
          <cell r="E191">
            <v>1.00450185</v>
          </cell>
          <cell r="F191">
            <v>1.0037122700000001</v>
          </cell>
          <cell r="G191"/>
          <cell r="H191"/>
          <cell r="I191"/>
          <cell r="J191"/>
          <cell r="K191"/>
        </row>
        <row r="192">
          <cell r="B192" t="str">
            <v>YM37D</v>
          </cell>
          <cell r="C192">
            <v>1.0369999999999999</v>
          </cell>
          <cell r="D192">
            <v>1.0299739699999999</v>
          </cell>
          <cell r="E192">
            <v>1.03122724</v>
          </cell>
          <cell r="F192">
            <v>1.02821992</v>
          </cell>
          <cell r="G192"/>
          <cell r="H192"/>
          <cell r="I192"/>
          <cell r="J192"/>
          <cell r="K192"/>
        </row>
        <row r="193">
          <cell r="B193" t="str">
            <v>YFCMD</v>
          </cell>
          <cell r="C193">
            <v>1.0221838000000001</v>
          </cell>
          <cell r="D193">
            <v>1.0232400699999999</v>
          </cell>
          <cell r="E193">
            <v>1.024551</v>
          </cell>
          <cell r="F193">
            <v>1.0236523399999999</v>
          </cell>
          <cell r="G193"/>
          <cell r="H193"/>
          <cell r="I193"/>
          <cell r="J193"/>
          <cell r="K193"/>
        </row>
        <row r="194">
          <cell r="B194" t="str">
            <v>PFC2D</v>
          </cell>
          <cell r="C194">
            <v>1.0423038600000001</v>
          </cell>
          <cell r="D194">
            <v>1.04314967</v>
          </cell>
          <cell r="E194">
            <v>1.0444200400000001</v>
          </cell>
          <cell r="F194">
            <v>1.04385847</v>
          </cell>
          <cell r="G194"/>
          <cell r="H194"/>
          <cell r="I194"/>
          <cell r="J194"/>
          <cell r="K194"/>
        </row>
        <row r="195">
          <cell r="B195" t="str">
            <v>YM38D</v>
          </cell>
          <cell r="C195">
            <v>1.0470015800000001</v>
          </cell>
          <cell r="D195">
            <v>1.0477477399999999</v>
          </cell>
          <cell r="E195">
            <v>1.0459410099999999</v>
          </cell>
          <cell r="F195">
            <v>1.04539563</v>
          </cell>
          <cell r="G195"/>
          <cell r="H195"/>
          <cell r="I195"/>
          <cell r="J195"/>
          <cell r="K195"/>
        </row>
        <row r="196">
          <cell r="B196" t="str">
            <v>BYZ1D</v>
          </cell>
          <cell r="C196">
            <v>1.0005840699999999</v>
          </cell>
          <cell r="D196">
            <v>1.0013007599999999</v>
          </cell>
          <cell r="E196">
            <v>1.0024897399999999</v>
          </cell>
          <cell r="F196">
            <v>1.00213459</v>
          </cell>
          <cell r="G196"/>
          <cell r="H196"/>
          <cell r="I196"/>
          <cell r="J196"/>
          <cell r="K196"/>
        </row>
        <row r="197">
          <cell r="B197" t="str">
            <v>PN38D</v>
          </cell>
          <cell r="C197">
            <v>1.0308263799999999</v>
          </cell>
          <cell r="D197">
            <v>1.0315222900000001</v>
          </cell>
          <cell r="E197">
            <v>1.0327240200000001</v>
          </cell>
          <cell r="F197">
            <v>1.0324341399999999</v>
          </cell>
          <cell r="G197"/>
          <cell r="H197"/>
          <cell r="I197"/>
          <cell r="J197"/>
          <cell r="K197"/>
        </row>
        <row r="198">
          <cell r="B198" t="str">
            <v>BF40D</v>
          </cell>
          <cell r="C198">
            <v>1.0137636800000001</v>
          </cell>
          <cell r="D198">
            <v>1.0143572599999999</v>
          </cell>
          <cell r="E198">
            <v>1.0154980499999999</v>
          </cell>
          <cell r="F198">
            <v>1.01538164</v>
          </cell>
          <cell r="G198"/>
          <cell r="H198"/>
          <cell r="I198"/>
          <cell r="J198"/>
          <cell r="K198"/>
        </row>
        <row r="199">
          <cell r="B199" t="str">
            <v>PN34D</v>
          </cell>
          <cell r="C199">
            <v>1.0087545099999999</v>
          </cell>
          <cell r="D199">
            <v>1.0091613800000001</v>
          </cell>
          <cell r="E199">
            <v>1.0101973200000001</v>
          </cell>
          <cell r="F199">
            <v>1.0104149099999999</v>
          </cell>
          <cell r="G199"/>
          <cell r="H199"/>
          <cell r="I199"/>
          <cell r="J199"/>
          <cell r="K199"/>
        </row>
        <row r="200">
          <cell r="B200" t="str">
            <v>TTCBD</v>
          </cell>
          <cell r="C200">
            <v>1.0532644099999999</v>
          </cell>
          <cell r="D200">
            <v>1.05355172</v>
          </cell>
          <cell r="E200">
            <v>1.0250121599999999</v>
          </cell>
          <cell r="F200">
            <v>1.0223817900000001</v>
          </cell>
          <cell r="G200"/>
          <cell r="H200"/>
          <cell r="I200"/>
          <cell r="J200"/>
          <cell r="K200"/>
        </row>
        <row r="201">
          <cell r="B201" t="str">
            <v>TTC8D</v>
          </cell>
          <cell r="C201">
            <v>1.0298588</v>
          </cell>
          <cell r="D201">
            <v>1.0300940999999999</v>
          </cell>
          <cell r="E201">
            <v>1.0310238300000001</v>
          </cell>
          <cell r="F201">
            <v>1.03155405</v>
          </cell>
          <cell r="G201"/>
          <cell r="H201"/>
          <cell r="I201"/>
          <cell r="J201"/>
          <cell r="K201"/>
        </row>
        <row r="202">
          <cell r="B202" t="str">
            <v>PLC1D</v>
          </cell>
          <cell r="C202">
            <v>1.044028</v>
          </cell>
          <cell r="D202">
            <v>1.0436826800000001</v>
          </cell>
          <cell r="E202">
            <v>1.0441870600000001</v>
          </cell>
          <cell r="F202">
            <v>1.0435000000000001</v>
          </cell>
          <cell r="G202"/>
          <cell r="H202"/>
          <cell r="I202"/>
          <cell r="J202"/>
          <cell r="K202"/>
        </row>
        <row r="203">
          <cell r="B203" t="str">
            <v>PLC3D</v>
          </cell>
          <cell r="C203">
            <v>1.0400070299999999</v>
          </cell>
          <cell r="D203">
            <v>1.0476852999999999</v>
          </cell>
          <cell r="E203">
            <v>1.04769753</v>
          </cell>
          <cell r="F203">
            <v>1.05016226</v>
          </cell>
          <cell r="G203"/>
          <cell r="H203"/>
          <cell r="I203"/>
          <cell r="J203"/>
          <cell r="K203"/>
        </row>
        <row r="204">
          <cell r="B204" t="str">
            <v>BF44D</v>
          </cell>
          <cell r="C204">
            <v>1.02158723</v>
          </cell>
          <cell r="D204">
            <v>1.0206825399999999</v>
          </cell>
          <cell r="E204">
            <v>1.02062192</v>
          </cell>
          <cell r="F204">
            <v>1.0231387599999999</v>
          </cell>
          <cell r="G204"/>
          <cell r="H204"/>
          <cell r="I204"/>
          <cell r="J204"/>
          <cell r="K204"/>
        </row>
        <row r="205">
          <cell r="B205" t="str">
            <v>YM40D</v>
          </cell>
          <cell r="C205">
            <v>1.05044348</v>
          </cell>
          <cell r="D205">
            <v>1.04916962</v>
          </cell>
          <cell r="E205">
            <v>1.0485289</v>
          </cell>
          <cell r="F205">
            <v>1.0517149100000001</v>
          </cell>
          <cell r="G205"/>
          <cell r="H205"/>
          <cell r="I205"/>
          <cell r="J205"/>
          <cell r="K205"/>
        </row>
        <row r="206">
          <cell r="B206" t="str">
            <v>YMCZD</v>
          </cell>
          <cell r="C206">
            <v>1.06718476</v>
          </cell>
          <cell r="D206">
            <v>1.0657199500000001</v>
          </cell>
          <cell r="E206">
            <v>1.06474717</v>
          </cell>
          <cell r="F206">
            <v>1.0680502199999999</v>
          </cell>
          <cell r="G206"/>
          <cell r="H206"/>
          <cell r="I206"/>
          <cell r="J206"/>
          <cell r="K206"/>
        </row>
        <row r="207">
          <cell r="B207" t="str">
            <v>YMCYD</v>
          </cell>
          <cell r="C207">
            <v>1.0245205799999999</v>
          </cell>
          <cell r="D207">
            <v>1.0230878699999999</v>
          </cell>
          <cell r="E207">
            <v>1.01851012</v>
          </cell>
          <cell r="F207">
            <v>1.01898738</v>
          </cell>
          <cell r="G207"/>
          <cell r="H207"/>
          <cell r="I207"/>
          <cell r="J207"/>
          <cell r="K207"/>
        </row>
        <row r="208">
          <cell r="B208" t="str">
            <v>GN47D</v>
          </cell>
          <cell r="C208">
            <v>1.0410913799999999</v>
          </cell>
          <cell r="D208">
            <v>1.03973067</v>
          </cell>
          <cell r="E208">
            <v>1.0388047600000001</v>
          </cell>
          <cell r="F208">
            <v>1.0120551</v>
          </cell>
          <cell r="G208"/>
          <cell r="H208"/>
          <cell r="I208"/>
          <cell r="J208"/>
          <cell r="K208"/>
        </row>
        <row r="209">
          <cell r="B209" t="str">
            <v>YFCLD</v>
          </cell>
          <cell r="C209">
            <v>1.0431683700000001</v>
          </cell>
          <cell r="D209">
            <v>1.04179154</v>
          </cell>
          <cell r="E209">
            <v>1.0406905</v>
          </cell>
          <cell r="F209">
            <v>1.0440216499999999</v>
          </cell>
          <cell r="G209"/>
          <cell r="H209"/>
          <cell r="I209"/>
          <cell r="J209"/>
          <cell r="K209"/>
        </row>
        <row r="210">
          <cell r="B210" t="str">
            <v>YFCOD</v>
          </cell>
          <cell r="C210">
            <v>1.03358211</v>
          </cell>
          <cell r="D210">
            <v>1.0322310400000001</v>
          </cell>
          <cell r="E210">
            <v>1.0310334800000001</v>
          </cell>
          <cell r="F210">
            <v>1.0343547</v>
          </cell>
          <cell r="G210"/>
          <cell r="H210"/>
          <cell r="I210"/>
          <cell r="J210"/>
          <cell r="K210"/>
        </row>
        <row r="211">
          <cell r="B211" t="str">
            <v>PLC6D</v>
          </cell>
          <cell r="C211">
            <v>1.0599897</v>
          </cell>
          <cell r="D211">
            <v>1.05878662</v>
          </cell>
          <cell r="E211">
            <v>1.05696305</v>
          </cell>
          <cell r="F211">
            <v>1.06038619</v>
          </cell>
          <cell r="G211"/>
          <cell r="H211"/>
          <cell r="I211"/>
          <cell r="J211"/>
          <cell r="K211"/>
        </row>
        <row r="212">
          <cell r="B212" t="str">
            <v>YM42D</v>
          </cell>
          <cell r="C212">
            <v>1.0489861</v>
          </cell>
          <cell r="D212">
            <v>1.0481399199999999</v>
          </cell>
          <cell r="E212">
            <v>1.0479981300000001</v>
          </cell>
          <cell r="F212">
            <v>1.0500079200000001</v>
          </cell>
          <cell r="G212"/>
          <cell r="H212"/>
          <cell r="I212"/>
          <cell r="J212"/>
          <cell r="K212"/>
        </row>
        <row r="213">
          <cell r="B213" t="str">
            <v>TLCUD</v>
          </cell>
          <cell r="C213">
            <v>1.02600146</v>
          </cell>
          <cell r="D213">
            <v>1.02480635</v>
          </cell>
          <cell r="E213">
            <v>1.02325087</v>
          </cell>
          <cell r="F213">
            <v>1.0189999999999999</v>
          </cell>
          <cell r="G213"/>
          <cell r="H213"/>
          <cell r="I213"/>
          <cell r="J213"/>
          <cell r="K213"/>
        </row>
        <row r="214">
          <cell r="B214" t="str">
            <v>OLC6D</v>
          </cell>
          <cell r="C214">
            <v>1.0688995999999999</v>
          </cell>
          <cell r="D214">
            <v>1.06812244</v>
          </cell>
          <cell r="E214">
            <v>1.0662363500000001</v>
          </cell>
          <cell r="F214">
            <v>1.06869093</v>
          </cell>
          <cell r="G214"/>
          <cell r="H214"/>
          <cell r="I214"/>
          <cell r="J214"/>
          <cell r="K214"/>
        </row>
        <row r="215">
          <cell r="B215" t="str">
            <v>T672D</v>
          </cell>
          <cell r="C215">
            <v>1.00491715</v>
          </cell>
          <cell r="D215">
            <v>1.0074080599999999</v>
          </cell>
          <cell r="E215">
            <v>1.00805334</v>
          </cell>
          <cell r="F215">
            <v>1.00890244</v>
          </cell>
          <cell r="G215"/>
          <cell r="H215"/>
          <cell r="I215"/>
          <cell r="J215"/>
          <cell r="K215"/>
        </row>
        <row r="216">
          <cell r="B216" t="str">
            <v>CS48D</v>
          </cell>
          <cell r="C216">
            <v>1.06750634</v>
          </cell>
          <cell r="D216">
            <v>1.06635708</v>
          </cell>
          <cell r="E216">
            <v>1.0659785100000001</v>
          </cell>
          <cell r="F216">
            <v>1.0689649800000001</v>
          </cell>
          <cell r="G216"/>
          <cell r="H216"/>
          <cell r="I216"/>
          <cell r="J216"/>
          <cell r="K216"/>
        </row>
        <row r="217">
          <cell r="B217" t="str">
            <v>CS47D</v>
          </cell>
          <cell r="C217">
            <v>1.0595677999999999</v>
          </cell>
          <cell r="D217">
            <v>1.05819804</v>
          </cell>
          <cell r="E217">
            <v>1.0571389200000001</v>
          </cell>
          <cell r="F217">
            <v>1.0605121399999999</v>
          </cell>
          <cell r="G217"/>
          <cell r="H217"/>
          <cell r="I217"/>
          <cell r="J217"/>
          <cell r="K217"/>
        </row>
        <row r="218">
          <cell r="B218" t="str">
            <v>ZZC1D</v>
          </cell>
          <cell r="C218">
            <v>1.0195247999999999</v>
          </cell>
          <cell r="D218">
            <v>1.02207044</v>
          </cell>
          <cell r="E218">
            <v>1.02272831</v>
          </cell>
          <cell r="F218">
            <v>1.02359807</v>
          </cell>
          <cell r="G218"/>
          <cell r="H218"/>
          <cell r="I218"/>
          <cell r="J218"/>
          <cell r="K218"/>
        </row>
        <row r="219">
          <cell r="B219" t="str">
            <v>BVCUD</v>
          </cell>
          <cell r="C219">
            <v>0.99423132000000003</v>
          </cell>
          <cell r="D219">
            <v>0.99744323999999995</v>
          </cell>
          <cell r="E219">
            <v>0.99798759999999997</v>
          </cell>
          <cell r="F219">
            <v>0.99862304000000002</v>
          </cell>
          <cell r="G219"/>
          <cell r="H219"/>
          <cell r="I219"/>
          <cell r="J219"/>
          <cell r="K219"/>
        </row>
        <row r="220">
          <cell r="B220" t="str">
            <v>JNC6D</v>
          </cell>
          <cell r="C220">
            <v>1.01300762</v>
          </cell>
          <cell r="D220">
            <v>1.01714434</v>
          </cell>
          <cell r="E220">
            <v>1.0168476900000001</v>
          </cell>
          <cell r="F220">
            <v>1.01984681</v>
          </cell>
          <cell r="G220"/>
          <cell r="H220"/>
          <cell r="I220"/>
          <cell r="J220"/>
          <cell r="K220"/>
        </row>
        <row r="221">
          <cell r="B221" t="str">
            <v>HVS1D</v>
          </cell>
          <cell r="C221">
            <v>1.00297619</v>
          </cell>
          <cell r="D221">
            <v>1.00822021</v>
          </cell>
          <cell r="E221">
            <v>1.00557399</v>
          </cell>
          <cell r="F221">
            <v>1.0128514200000001</v>
          </cell>
          <cell r="G221"/>
          <cell r="H221"/>
          <cell r="I221"/>
          <cell r="J221"/>
          <cell r="K221"/>
        </row>
        <row r="222">
          <cell r="B222" t="str">
            <v>TGCHD</v>
          </cell>
          <cell r="C222">
            <v>9.9999999999999995E-8</v>
          </cell>
          <cell r="D222">
            <v>9.9999999999999995E-8</v>
          </cell>
          <cell r="E222">
            <v>9.9999999999999995E-8</v>
          </cell>
          <cell r="F222">
            <v>9.9999999999999995E-8</v>
          </cell>
          <cell r="G222"/>
          <cell r="H222"/>
          <cell r="I222"/>
          <cell r="J222"/>
          <cell r="K222"/>
        </row>
        <row r="223"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</row>
        <row r="224">
          <cell r="B224" t="str">
            <v>Obligaciones Negociables Hard USD - LA - Contra $</v>
          </cell>
          <cell r="C224"/>
          <cell r="D224"/>
          <cell r="E224"/>
          <cell r="F224"/>
          <cell r="G224"/>
          <cell r="H224"/>
          <cell r="I224"/>
          <cell r="J224"/>
          <cell r="K224"/>
        </row>
        <row r="225"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</row>
        <row r="226">
          <cell r="B226" t="str">
            <v>VES2L</v>
          </cell>
          <cell r="C226">
            <v>1564.0058809899999</v>
          </cell>
          <cell r="D226">
            <v>1572.3514012400001</v>
          </cell>
          <cell r="E226">
            <v>1560.9477959000001</v>
          </cell>
          <cell r="F226">
            <v>1566.9642007299999</v>
          </cell>
          <cell r="G226"/>
          <cell r="H226"/>
          <cell r="I226"/>
          <cell r="J226"/>
          <cell r="K226"/>
        </row>
        <row r="227">
          <cell r="B227" t="str">
            <v>NAS1L</v>
          </cell>
          <cell r="C227">
            <v>1532.01550789</v>
          </cell>
          <cell r="D227">
            <v>1541.5381066299999</v>
          </cell>
          <cell r="E227">
            <v>1531.2018898900001</v>
          </cell>
          <cell r="F227">
            <v>1538.08843374</v>
          </cell>
          <cell r="G227"/>
          <cell r="H227"/>
          <cell r="I227"/>
          <cell r="J227"/>
          <cell r="K227"/>
        </row>
        <row r="228">
          <cell r="B228" t="str">
            <v>ORS1L</v>
          </cell>
          <cell r="C228">
            <v>1553.90771924</v>
          </cell>
          <cell r="D228">
            <v>1563.08569878</v>
          </cell>
          <cell r="E228">
            <v>1553.86025208</v>
          </cell>
          <cell r="F228">
            <v>1562.7738204100001</v>
          </cell>
          <cell r="G228"/>
          <cell r="H228"/>
          <cell r="I228"/>
          <cell r="J228"/>
          <cell r="K228"/>
        </row>
        <row r="229">
          <cell r="B229" t="str">
            <v>HJCFO</v>
          </cell>
          <cell r="C229">
            <v>1577.52759842</v>
          </cell>
          <cell r="D229">
            <v>1573.38653568</v>
          </cell>
          <cell r="E229">
            <v>1570.18681109</v>
          </cell>
          <cell r="F229">
            <v>1573.1</v>
          </cell>
          <cell r="G229"/>
          <cell r="H229"/>
          <cell r="I229"/>
          <cell r="J229"/>
          <cell r="K229"/>
        </row>
        <row r="230">
          <cell r="B230" t="str">
            <v>BYCWO</v>
          </cell>
          <cell r="C230">
            <v>1590</v>
          </cell>
          <cell r="D230">
            <v>1593</v>
          </cell>
          <cell r="E230">
            <v>1576.06733891</v>
          </cell>
          <cell r="F230">
            <v>1589</v>
          </cell>
          <cell r="G230"/>
          <cell r="H230"/>
          <cell r="I230"/>
          <cell r="J230"/>
          <cell r="K230"/>
        </row>
        <row r="231">
          <cell r="B231" t="str">
            <v>BYCXO</v>
          </cell>
          <cell r="C231">
            <v>1575.6165328300001</v>
          </cell>
          <cell r="D231">
            <v>1573.7283206100001</v>
          </cell>
          <cell r="E231">
            <v>1564.8672031200001</v>
          </cell>
          <cell r="F231">
            <v>1579.01579515</v>
          </cell>
          <cell r="G231"/>
          <cell r="H231"/>
          <cell r="I231"/>
          <cell r="J231"/>
          <cell r="K231"/>
        </row>
        <row r="232">
          <cell r="B232" t="str">
            <v>YM41O</v>
          </cell>
          <cell r="C232">
            <v>1543.58743314</v>
          </cell>
          <cell r="D232">
            <v>1542.1488781200001</v>
          </cell>
          <cell r="E232">
            <v>1533.02031771</v>
          </cell>
          <cell r="F232">
            <v>1538.8609294800001</v>
          </cell>
          <cell r="G232"/>
          <cell r="H232"/>
          <cell r="I232"/>
          <cell r="J232"/>
          <cell r="K232"/>
        </row>
        <row r="233">
          <cell r="B233" t="str">
            <v>YM37O</v>
          </cell>
          <cell r="C233">
            <v>1576.2065465000001</v>
          </cell>
          <cell r="D233">
            <v>1578.6353365699999</v>
          </cell>
          <cell r="E233">
            <v>1564.6174104500001</v>
          </cell>
          <cell r="F233">
            <v>1583.9415953499999</v>
          </cell>
          <cell r="G233"/>
          <cell r="H233"/>
          <cell r="I233"/>
          <cell r="J233"/>
          <cell r="K233"/>
        </row>
        <row r="234">
          <cell r="B234" t="str">
            <v>YFCMO</v>
          </cell>
          <cell r="C234">
            <v>1579.1791371899999</v>
          </cell>
          <cell r="D234">
            <v>1582.0127234700001</v>
          </cell>
          <cell r="E234">
            <v>1567.60753649</v>
          </cell>
          <cell r="F234">
            <v>1572.64249909</v>
          </cell>
          <cell r="G234"/>
          <cell r="H234"/>
          <cell r="I234"/>
          <cell r="J234"/>
          <cell r="K234"/>
        </row>
        <row r="235">
          <cell r="B235" t="str">
            <v>PFC2O</v>
          </cell>
          <cell r="C235">
            <v>1602.9202170200001</v>
          </cell>
          <cell r="D235">
            <v>1607.58785642</v>
          </cell>
          <cell r="E235">
            <v>1574</v>
          </cell>
          <cell r="F235">
            <v>1580.5</v>
          </cell>
          <cell r="G235"/>
          <cell r="H235"/>
          <cell r="I235"/>
          <cell r="J235"/>
          <cell r="K235"/>
        </row>
        <row r="236">
          <cell r="B236" t="str">
            <v>YM38O</v>
          </cell>
          <cell r="C236">
            <v>1613.6031400899999</v>
          </cell>
          <cell r="D236">
            <v>1618.30855948</v>
          </cell>
          <cell r="E236">
            <v>1602.95733984</v>
          </cell>
          <cell r="F236">
            <v>1607.4748752999999</v>
          </cell>
          <cell r="G236"/>
          <cell r="H236"/>
          <cell r="I236"/>
          <cell r="J236"/>
          <cell r="K236"/>
        </row>
        <row r="237">
          <cell r="B237" t="str">
            <v>BYZ1O</v>
          </cell>
          <cell r="C237">
            <v>1538.14060485</v>
          </cell>
          <cell r="D237">
            <v>1543.3297003</v>
          </cell>
          <cell r="E237">
            <v>1528.43342405</v>
          </cell>
          <cell r="F237">
            <v>1532.7186010800001</v>
          </cell>
          <cell r="G237"/>
          <cell r="H237"/>
          <cell r="I237"/>
          <cell r="J237"/>
          <cell r="K237"/>
        </row>
        <row r="238">
          <cell r="B238" t="str">
            <v>PN38O</v>
          </cell>
          <cell r="C238">
            <v>1584.4094779899999</v>
          </cell>
          <cell r="D238">
            <v>1589.9483668299999</v>
          </cell>
          <cell r="E238">
            <v>1574.64199263</v>
          </cell>
          <cell r="F238">
            <v>1579.0067168999999</v>
          </cell>
          <cell r="G238"/>
          <cell r="H238"/>
          <cell r="I238"/>
          <cell r="J238"/>
          <cell r="K238"/>
        </row>
        <row r="239">
          <cell r="B239" t="str">
            <v>BF40O</v>
          </cell>
          <cell r="C239">
            <v>1557.6550982199999</v>
          </cell>
          <cell r="D239">
            <v>1563.6383714399999</v>
          </cell>
          <cell r="E239">
            <v>1548.5510297599999</v>
          </cell>
          <cell r="F239">
            <v>1552.71943149</v>
          </cell>
          <cell r="G239"/>
          <cell r="H239"/>
          <cell r="I239"/>
          <cell r="J239"/>
          <cell r="K239"/>
        </row>
        <row r="240">
          <cell r="B240" t="str">
            <v>TTCBO</v>
          </cell>
          <cell r="C240">
            <v>1616.7872359099999</v>
          </cell>
          <cell r="D240">
            <v>1624.1603766600001</v>
          </cell>
          <cell r="E240">
            <v>1559.2390389699999</v>
          </cell>
          <cell r="F240">
            <v>1563.1560132</v>
          </cell>
          <cell r="G240"/>
          <cell r="H240"/>
          <cell r="I240"/>
          <cell r="J240"/>
          <cell r="K240"/>
        </row>
        <row r="241">
          <cell r="B241" t="str">
            <v>TTC8O</v>
          </cell>
          <cell r="C241">
            <v>1580.5696693800001</v>
          </cell>
          <cell r="D241">
            <v>1588.09962023</v>
          </cell>
          <cell r="E241">
            <v>1578</v>
          </cell>
          <cell r="F241">
            <v>1577.3489235100001</v>
          </cell>
          <cell r="G241"/>
          <cell r="H241"/>
          <cell r="I241"/>
          <cell r="J241"/>
          <cell r="K241"/>
        </row>
        <row r="242">
          <cell r="B242" t="str">
            <v>PLC1O</v>
          </cell>
          <cell r="C242">
            <v>1599.5166593199999</v>
          </cell>
          <cell r="D242">
            <v>1609.2516972999999</v>
          </cell>
          <cell r="E242">
            <v>1595.88845913</v>
          </cell>
          <cell r="F242">
            <v>1625.4002305399999</v>
          </cell>
          <cell r="G242"/>
          <cell r="H242"/>
          <cell r="I242"/>
          <cell r="J242"/>
          <cell r="K242"/>
        </row>
        <row r="243">
          <cell r="B243" t="str">
            <v>BF44O</v>
          </cell>
          <cell r="C243">
            <v>1562.48606786</v>
          </cell>
          <cell r="D243">
            <v>1573.8652325800001</v>
          </cell>
          <cell r="E243">
            <v>1563.09364822</v>
          </cell>
          <cell r="F243">
            <v>1568.16205582</v>
          </cell>
          <cell r="G243"/>
          <cell r="H243"/>
          <cell r="I243"/>
          <cell r="J243"/>
          <cell r="K243"/>
        </row>
        <row r="244">
          <cell r="B244" t="str">
            <v>YM40O</v>
          </cell>
          <cell r="C244">
            <v>1605.8938536799999</v>
          </cell>
          <cell r="D244">
            <v>1618.53126084</v>
          </cell>
          <cell r="E244">
            <v>1610.28299414</v>
          </cell>
          <cell r="F244">
            <v>1618.1269284499999</v>
          </cell>
          <cell r="G244"/>
          <cell r="H244"/>
          <cell r="I244"/>
          <cell r="J244"/>
          <cell r="K244"/>
        </row>
        <row r="245">
          <cell r="B245" t="str">
            <v>YMCZO</v>
          </cell>
          <cell r="C245">
            <v>1576.89196167</v>
          </cell>
          <cell r="D245">
            <v>1589.7948576199999</v>
          </cell>
          <cell r="E245">
            <v>1582.89006101</v>
          </cell>
          <cell r="F245">
            <v>1592.1373707600001</v>
          </cell>
          <cell r="G245"/>
          <cell r="H245"/>
          <cell r="I245"/>
          <cell r="J245"/>
          <cell r="K245"/>
        </row>
        <row r="246">
          <cell r="B246" t="str">
            <v>YMCYO</v>
          </cell>
          <cell r="C246">
            <v>1555.5539013099999</v>
          </cell>
          <cell r="D246">
            <v>1568.2006222099999</v>
          </cell>
          <cell r="E246">
            <v>1561.42868914</v>
          </cell>
          <cell r="F246">
            <v>1570.5712161700001</v>
          </cell>
          <cell r="G246"/>
          <cell r="H246"/>
          <cell r="I246"/>
          <cell r="J246"/>
          <cell r="K246"/>
        </row>
        <row r="247">
          <cell r="B247" t="str">
            <v>GN47O</v>
          </cell>
          <cell r="C247">
            <v>1590.3859474400001</v>
          </cell>
          <cell r="D247">
            <v>1603.01082253</v>
          </cell>
          <cell r="E247">
            <v>1596.4474352899999</v>
          </cell>
          <cell r="F247">
            <v>1559.7497114800001</v>
          </cell>
          <cell r="G247"/>
          <cell r="H247"/>
          <cell r="I247"/>
          <cell r="J247"/>
          <cell r="K247"/>
        </row>
        <row r="248">
          <cell r="B248" t="str">
            <v>YFCLO</v>
          </cell>
          <cell r="C248">
            <v>1584.15074018</v>
          </cell>
          <cell r="D248">
            <v>1596.8834261300001</v>
          </cell>
          <cell r="E248">
            <v>1591.1355220200001</v>
          </cell>
          <cell r="F248">
            <v>1602.05786872</v>
          </cell>
          <cell r="G248"/>
          <cell r="H248"/>
          <cell r="I248"/>
          <cell r="J248"/>
          <cell r="K248"/>
        </row>
        <row r="249">
          <cell r="B249" t="str">
            <v>YFCOO</v>
          </cell>
          <cell r="C249">
            <v>1577.3578955200001</v>
          </cell>
          <cell r="D249">
            <v>1590.06847911</v>
          </cell>
          <cell r="E249">
            <v>1584.95079403</v>
          </cell>
          <cell r="F249">
            <v>1596.86256263</v>
          </cell>
          <cell r="G249"/>
          <cell r="H249"/>
          <cell r="I249"/>
          <cell r="J249"/>
          <cell r="K249"/>
        </row>
        <row r="250">
          <cell r="B250" t="str">
            <v>PLC6O</v>
          </cell>
          <cell r="C250">
            <v>1619.9688255599999</v>
          </cell>
          <cell r="D250">
            <v>1632.26641307</v>
          </cell>
          <cell r="E250">
            <v>1628.95210339</v>
          </cell>
          <cell r="F250">
            <v>1644.7850358000001</v>
          </cell>
          <cell r="G250"/>
          <cell r="H250"/>
          <cell r="I250"/>
          <cell r="J250"/>
          <cell r="K250"/>
        </row>
        <row r="251">
          <cell r="B251" t="str">
            <v>YM42O</v>
          </cell>
          <cell r="C251">
            <v>1614.86155555</v>
          </cell>
          <cell r="D251">
            <v>1604.9330380399999</v>
          </cell>
          <cell r="E251">
            <v>1610.9999463900001</v>
          </cell>
          <cell r="F251">
            <v>1615.29380952</v>
          </cell>
          <cell r="G251"/>
          <cell r="H251"/>
          <cell r="I251"/>
          <cell r="J251"/>
          <cell r="K251"/>
        </row>
        <row r="252">
          <cell r="B252" t="str">
            <v>TLCUO</v>
          </cell>
          <cell r="C252">
            <v>1567.7044049399999</v>
          </cell>
          <cell r="D252">
            <v>1580.0703430399999</v>
          </cell>
          <cell r="E252">
            <v>1577.0795183</v>
          </cell>
          <cell r="F252">
            <v>1593.11174267</v>
          </cell>
          <cell r="G252"/>
          <cell r="H252"/>
          <cell r="I252"/>
          <cell r="J252"/>
          <cell r="K252"/>
        </row>
        <row r="253">
          <cell r="B253" t="str">
            <v>OLC6O</v>
          </cell>
          <cell r="C253">
            <v>1635.2485359</v>
          </cell>
          <cell r="D253">
            <v>1646.7632024899999</v>
          </cell>
          <cell r="E253">
            <v>1645.6116681599999</v>
          </cell>
          <cell r="F253">
            <v>1667.72205958</v>
          </cell>
          <cell r="G253"/>
          <cell r="H253"/>
          <cell r="I253"/>
          <cell r="J253"/>
          <cell r="K253"/>
        </row>
        <row r="254">
          <cell r="B254" t="str">
            <v>T672O</v>
          </cell>
          <cell r="C254">
            <v>1551.6059846400001</v>
          </cell>
          <cell r="D254">
            <v>1551.6063739000001</v>
          </cell>
          <cell r="E254">
            <v>1540.1068363300001</v>
          </cell>
          <cell r="F254">
            <v>1545.8172713599999</v>
          </cell>
          <cell r="G254"/>
          <cell r="H254"/>
          <cell r="I254"/>
          <cell r="J254"/>
          <cell r="K254"/>
        </row>
        <row r="255">
          <cell r="B255" t="str">
            <v>CS48O</v>
          </cell>
          <cell r="C255">
            <v>1631.7964967099999</v>
          </cell>
          <cell r="D255">
            <v>1644.2466402699999</v>
          </cell>
          <cell r="E255">
            <v>1634.51918596</v>
          </cell>
          <cell r="F255">
            <v>1641.1437293500001</v>
          </cell>
          <cell r="G255"/>
          <cell r="H255"/>
          <cell r="I255"/>
          <cell r="J255"/>
          <cell r="K255"/>
        </row>
        <row r="256">
          <cell r="B256" t="str">
            <v>CS47O</v>
          </cell>
          <cell r="C256">
            <v>1618.65256905</v>
          </cell>
          <cell r="D256">
            <v>1631.4691969099999</v>
          </cell>
          <cell r="E256">
            <v>1625.4393666999999</v>
          </cell>
          <cell r="F256">
            <v>1636.2458411699999</v>
          </cell>
          <cell r="G256"/>
          <cell r="H256"/>
          <cell r="I256"/>
          <cell r="J256"/>
          <cell r="K256"/>
        </row>
        <row r="257">
          <cell r="B257" t="str">
            <v>ZZC1O</v>
          </cell>
          <cell r="C257">
            <v>1574.1928343500001</v>
          </cell>
          <cell r="D257">
            <v>1574.23095754</v>
          </cell>
          <cell r="E257">
            <v>1562.49443148</v>
          </cell>
          <cell r="F257">
            <v>1568.2904765000001</v>
          </cell>
          <cell r="G257"/>
          <cell r="H257"/>
          <cell r="I257"/>
          <cell r="J257"/>
          <cell r="K257"/>
        </row>
        <row r="258">
          <cell r="B258" t="str">
            <v>BVCUO</v>
          </cell>
          <cell r="C258">
            <v>1534.9628493299999</v>
          </cell>
          <cell r="D258">
            <v>1537.41154106</v>
          </cell>
          <cell r="E258">
            <v>1523.77808181</v>
          </cell>
          <cell r="F258">
            <v>1529.1378261299999</v>
          </cell>
          <cell r="G258"/>
          <cell r="H258"/>
          <cell r="I258"/>
          <cell r="J258"/>
          <cell r="K258"/>
        </row>
        <row r="259">
          <cell r="B259" t="str">
            <v>JNC6O</v>
          </cell>
          <cell r="C259">
            <v>1562.8571523799999</v>
          </cell>
          <cell r="D259">
            <v>1570.0112305</v>
          </cell>
          <cell r="E259">
            <v>1555.1862982600001</v>
          </cell>
          <cell r="F259">
            <v>1559.5519923500001</v>
          </cell>
          <cell r="G259"/>
          <cell r="H259"/>
          <cell r="I259"/>
          <cell r="J259"/>
          <cell r="K259"/>
        </row>
        <row r="260">
          <cell r="B260" t="str">
            <v>HVS1O</v>
          </cell>
          <cell r="C260">
            <v>1545.8633847900001</v>
          </cell>
          <cell r="D260">
            <v>1557.805728</v>
          </cell>
          <cell r="E260">
            <v>1548.60914583</v>
          </cell>
          <cell r="F260">
            <v>1555.2164050900001</v>
          </cell>
          <cell r="G260"/>
          <cell r="H260"/>
          <cell r="I260"/>
          <cell r="J260"/>
          <cell r="K260"/>
        </row>
        <row r="261">
          <cell r="B261" t="str">
            <v>TGCHO</v>
          </cell>
          <cell r="C261">
            <v>0</v>
          </cell>
          <cell r="D261">
            <v>0</v>
          </cell>
          <cell r="E261">
            <v>9.9999999999999995E-8</v>
          </cell>
          <cell r="F261">
            <v>9.9999999999999995E-8</v>
          </cell>
          <cell r="G261"/>
          <cell r="H261"/>
          <cell r="I261"/>
          <cell r="J261"/>
          <cell r="K261"/>
        </row>
        <row r="262"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</row>
        <row r="263">
          <cell r="B263" t="str">
            <v>Obligaciones Negociables Hard USD - LE</v>
          </cell>
          <cell r="C263"/>
          <cell r="D263"/>
          <cell r="E263"/>
          <cell r="F263"/>
          <cell r="G263"/>
          <cell r="H263"/>
          <cell r="I263"/>
          <cell r="J263"/>
          <cell r="K263"/>
        </row>
        <row r="264"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</row>
        <row r="265">
          <cell r="B265" t="str">
            <v>PNDCD</v>
          </cell>
          <cell r="C265">
            <v>0.43084436999999998</v>
          </cell>
          <cell r="D265">
            <v>0.43164021000000002</v>
          </cell>
          <cell r="E265">
            <v>0.43170298000000001</v>
          </cell>
          <cell r="F265">
            <v>0.43170924999999999</v>
          </cell>
          <cell r="G265"/>
          <cell r="H265"/>
          <cell r="I265"/>
          <cell r="J265"/>
          <cell r="K265"/>
        </row>
        <row r="266">
          <cell r="B266" t="str">
            <v>YCAMD</v>
          </cell>
          <cell r="C266">
            <v>1.0793749699999999</v>
          </cell>
          <cell r="D266">
            <v>1.08439069</v>
          </cell>
          <cell r="E266">
            <v>1.0851238000000001</v>
          </cell>
          <cell r="F266">
            <v>1.0860500900000001</v>
          </cell>
          <cell r="G266"/>
          <cell r="H266"/>
          <cell r="I266"/>
          <cell r="J266"/>
          <cell r="K266"/>
        </row>
        <row r="267">
          <cell r="B267" t="str">
            <v>AER4D</v>
          </cell>
          <cell r="C267">
            <v>0.76981931000000003</v>
          </cell>
          <cell r="D267">
            <v>0.77459822</v>
          </cell>
          <cell r="E267">
            <v>0.77552712999999995</v>
          </cell>
          <cell r="F267">
            <v>0.77631850999999996</v>
          </cell>
          <cell r="G267"/>
          <cell r="H267"/>
          <cell r="I267"/>
          <cell r="J267"/>
          <cell r="K267"/>
        </row>
        <row r="268">
          <cell r="B268" t="str">
            <v>YMCID</v>
          </cell>
          <cell r="C268">
            <v>0.95326432000000005</v>
          </cell>
          <cell r="D268">
            <v>0.95414409</v>
          </cell>
          <cell r="E268">
            <v>0.96196649000000001</v>
          </cell>
          <cell r="F268">
            <v>0.96089866000000002</v>
          </cell>
          <cell r="G268"/>
          <cell r="H268"/>
          <cell r="I268"/>
          <cell r="J268"/>
          <cell r="K268"/>
        </row>
        <row r="269">
          <cell r="B269" t="str">
            <v>BYCHD</v>
          </cell>
          <cell r="C269">
            <v>1.0826337399999999</v>
          </cell>
          <cell r="D269">
            <v>1.0912477937510801</v>
          </cell>
          <cell r="E269">
            <v>1.0930719652215399</v>
          </cell>
          <cell r="F269">
            <v>1.0945497099999999</v>
          </cell>
          <cell r="G269"/>
          <cell r="H269"/>
          <cell r="I269"/>
          <cell r="J269"/>
          <cell r="K269"/>
        </row>
        <row r="270">
          <cell r="B270" t="str">
            <v>YMCUD</v>
          </cell>
          <cell r="C270">
            <v>1.01100031</v>
          </cell>
          <cell r="D270">
            <v>1.0179880699999999</v>
          </cell>
          <cell r="E270">
            <v>1.0196289700000001</v>
          </cell>
          <cell r="F270">
            <v>1.0204822</v>
          </cell>
          <cell r="G270"/>
          <cell r="H270"/>
          <cell r="I270"/>
          <cell r="J270"/>
          <cell r="K270"/>
        </row>
        <row r="271">
          <cell r="B271" t="str">
            <v>YMC1D</v>
          </cell>
          <cell r="C271">
            <v>1.1151493100000001</v>
          </cell>
          <cell r="D271">
            <v>1.1244573099999999</v>
          </cell>
          <cell r="E271">
            <v>1.1267161299999999</v>
          </cell>
          <cell r="F271">
            <v>1.1279593400000001</v>
          </cell>
          <cell r="G271"/>
          <cell r="H271"/>
          <cell r="I271"/>
          <cell r="J271"/>
          <cell r="K271"/>
        </row>
        <row r="272">
          <cell r="B272" t="str">
            <v>ARC1D</v>
          </cell>
          <cell r="C272">
            <v>1.0718163199999999</v>
          </cell>
          <cell r="D272">
            <v>1.0798014300000001</v>
          </cell>
          <cell r="E272">
            <v>1.08184904</v>
          </cell>
          <cell r="F272">
            <v>1.0826493100000001</v>
          </cell>
          <cell r="G272"/>
          <cell r="H272"/>
          <cell r="I272"/>
          <cell r="J272"/>
          <cell r="K272"/>
        </row>
        <row r="273">
          <cell r="B273" t="str">
            <v>TTCDD</v>
          </cell>
          <cell r="C273">
            <v>1.0885</v>
          </cell>
          <cell r="D273">
            <v>1.0900512</v>
          </cell>
          <cell r="E273">
            <v>1.0935317899999999</v>
          </cell>
          <cell r="F273">
            <v>1.0945</v>
          </cell>
          <cell r="G273"/>
          <cell r="H273"/>
          <cell r="I273"/>
          <cell r="J273"/>
          <cell r="K273"/>
        </row>
        <row r="274">
          <cell r="B274" t="str">
            <v>YMCXD</v>
          </cell>
          <cell r="C274">
            <v>1.0868810600000001</v>
          </cell>
          <cell r="D274">
            <v>1.0890453</v>
          </cell>
          <cell r="E274">
            <v>1.0906684200000001</v>
          </cell>
          <cell r="F274">
            <v>1.09914058</v>
          </cell>
          <cell r="G274"/>
          <cell r="H274"/>
          <cell r="I274"/>
          <cell r="J274"/>
          <cell r="K274"/>
        </row>
        <row r="275">
          <cell r="B275" t="str">
            <v>PNXCD</v>
          </cell>
          <cell r="C275">
            <v>1.1084459099999999</v>
          </cell>
          <cell r="D275">
            <v>1.11737555</v>
          </cell>
          <cell r="E275">
            <v>1.1202698900000001</v>
          </cell>
          <cell r="F275">
            <v>1.1203626600000001</v>
          </cell>
          <cell r="G275"/>
          <cell r="H275"/>
          <cell r="I275"/>
          <cell r="J275"/>
          <cell r="K275"/>
        </row>
        <row r="276">
          <cell r="B276" t="str">
            <v>PLC5D</v>
          </cell>
          <cell r="C276">
            <v>1.09001697</v>
          </cell>
          <cell r="D276">
            <v>1.0946808400000001</v>
          </cell>
          <cell r="E276">
            <v>1.0975870999999999</v>
          </cell>
          <cell r="F276">
            <v>1.0976373100000001</v>
          </cell>
          <cell r="G276"/>
          <cell r="H276"/>
          <cell r="I276"/>
          <cell r="J276"/>
          <cell r="K276"/>
        </row>
        <row r="277">
          <cell r="B277" t="str">
            <v>TSC3D</v>
          </cell>
          <cell r="C277">
            <v>1.085574</v>
          </cell>
          <cell r="D277">
            <v>1.09446431</v>
          </cell>
          <cell r="E277">
            <v>1.09744953</v>
          </cell>
          <cell r="F277">
            <v>1.0974056000000001</v>
          </cell>
          <cell r="G277"/>
          <cell r="H277"/>
          <cell r="I277"/>
          <cell r="J277"/>
          <cell r="K277"/>
        </row>
        <row r="278">
          <cell r="B278" t="str">
            <v>YFCJD</v>
          </cell>
          <cell r="C278">
            <v>1.08450118</v>
          </cell>
          <cell r="D278">
            <v>1.0864000300000001</v>
          </cell>
          <cell r="E278">
            <v>1.04998645</v>
          </cell>
          <cell r="F278">
            <v>1.0497772700000001</v>
          </cell>
          <cell r="G278"/>
          <cell r="H278"/>
          <cell r="I278"/>
          <cell r="J278"/>
          <cell r="K278"/>
        </row>
        <row r="279">
          <cell r="B279" t="str">
            <v>MGCMD</v>
          </cell>
          <cell r="C279">
            <v>1.0917025899999999</v>
          </cell>
          <cell r="D279">
            <v>1.0825</v>
          </cell>
          <cell r="E279">
            <v>1.06108117</v>
          </cell>
          <cell r="F279">
            <v>1.0609363106699199</v>
          </cell>
          <cell r="G279"/>
          <cell r="H279"/>
          <cell r="I279"/>
          <cell r="J279"/>
          <cell r="K279"/>
        </row>
        <row r="280">
          <cell r="B280" t="str">
            <v>TTCAD</v>
          </cell>
          <cell r="C280">
            <v>1.04833964</v>
          </cell>
          <cell r="D280">
            <v>1.05109439</v>
          </cell>
          <cell r="E280">
            <v>1.0549999999999999</v>
          </cell>
          <cell r="F280">
            <v>1.0537085100000001</v>
          </cell>
          <cell r="G280"/>
          <cell r="H280"/>
          <cell r="I280"/>
          <cell r="J280"/>
          <cell r="K280"/>
        </row>
        <row r="281">
          <cell r="B281" t="str">
            <v>PLC4D</v>
          </cell>
          <cell r="C281">
            <v>1.10598888</v>
          </cell>
          <cell r="D281">
            <v>1.10145662</v>
          </cell>
          <cell r="E281">
            <v>1.10597477</v>
          </cell>
          <cell r="F281">
            <v>1.1053315800000001</v>
          </cell>
          <cell r="G281"/>
          <cell r="H281"/>
          <cell r="I281"/>
          <cell r="J281"/>
          <cell r="K281"/>
        </row>
        <row r="282">
          <cell r="B282" t="str">
            <v>VSCVD</v>
          </cell>
          <cell r="C282">
            <v>1.10997543</v>
          </cell>
          <cell r="D282">
            <v>1.10985983</v>
          </cell>
          <cell r="E282">
            <v>1.11698634</v>
          </cell>
          <cell r="F282">
            <v>1.1195138899999999</v>
          </cell>
          <cell r="G282"/>
          <cell r="H282"/>
          <cell r="I282"/>
          <cell r="J282"/>
          <cell r="K282"/>
        </row>
        <row r="283">
          <cell r="B283" t="str">
            <v>YM34D</v>
          </cell>
          <cell r="C283">
            <v>1.07740013</v>
          </cell>
          <cell r="D283">
            <v>1.0809056500000001</v>
          </cell>
          <cell r="E283">
            <v>1.08691721</v>
          </cell>
          <cell r="F283">
            <v>1.08293584</v>
          </cell>
          <cell r="G283"/>
          <cell r="H283"/>
          <cell r="I283"/>
          <cell r="J283"/>
          <cell r="K283"/>
        </row>
        <row r="284">
          <cell r="B284" t="str">
            <v>YMCJD</v>
          </cell>
          <cell r="C284">
            <v>1.0146640600000001</v>
          </cell>
          <cell r="D284">
            <v>1.0157951300000001</v>
          </cell>
          <cell r="E284">
            <v>1.02360344</v>
          </cell>
          <cell r="F284">
            <v>1.0295049300000001</v>
          </cell>
          <cell r="G284"/>
          <cell r="H284"/>
          <cell r="I284"/>
          <cell r="J284"/>
          <cell r="K284"/>
        </row>
        <row r="285">
          <cell r="B285" t="str">
            <v>CAC5D</v>
          </cell>
          <cell r="C285">
            <v>0.54661514</v>
          </cell>
          <cell r="D285">
            <v>0.54959164999999999</v>
          </cell>
          <cell r="E285">
            <v>0.55012819999999996</v>
          </cell>
          <cell r="F285">
            <v>0.55079745999999996</v>
          </cell>
          <cell r="G285"/>
          <cell r="H285"/>
          <cell r="I285"/>
          <cell r="J285"/>
          <cell r="K285"/>
        </row>
        <row r="286">
          <cell r="B286" t="str">
            <v>TLCMD</v>
          </cell>
          <cell r="C286">
            <v>1.12282159</v>
          </cell>
          <cell r="D286">
            <v>1.12294355</v>
          </cell>
          <cell r="E286">
            <v>1.12747284</v>
          </cell>
          <cell r="F286">
            <v>1.1244096100000001</v>
          </cell>
          <cell r="G286"/>
          <cell r="H286"/>
          <cell r="I286"/>
          <cell r="J286"/>
          <cell r="K286"/>
        </row>
        <row r="287">
          <cell r="B287" t="str">
            <v>TLCPD</v>
          </cell>
          <cell r="C287">
            <v>1.10850268</v>
          </cell>
          <cell r="D287">
            <v>1.11700822</v>
          </cell>
          <cell r="E287">
            <v>1.1201880799999999</v>
          </cell>
          <cell r="F287">
            <v>1.11986282</v>
          </cell>
          <cell r="G287"/>
          <cell r="H287"/>
          <cell r="I287"/>
          <cell r="J287"/>
          <cell r="K287"/>
        </row>
        <row r="288">
          <cell r="B288" t="str">
            <v>AEC2D</v>
          </cell>
          <cell r="C288">
            <v>0.53172193000000001</v>
          </cell>
          <cell r="D288">
            <v>0.53377374</v>
          </cell>
          <cell r="E288">
            <v>0.53396489000000003</v>
          </cell>
          <cell r="F288">
            <v>0.53435493999999994</v>
          </cell>
          <cell r="G288"/>
          <cell r="H288"/>
          <cell r="I288"/>
          <cell r="J288"/>
          <cell r="K288"/>
        </row>
        <row r="289">
          <cell r="B289"/>
          <cell r="C289"/>
          <cell r="D289"/>
          <cell r="E289"/>
          <cell r="F289"/>
          <cell r="G289"/>
          <cell r="H289"/>
          <cell r="I289"/>
          <cell r="J289"/>
          <cell r="K289"/>
        </row>
        <row r="290">
          <cell r="B290" t="str">
            <v>Obligaciones Negociables Hard USD - LE - Contra $</v>
          </cell>
          <cell r="C290"/>
          <cell r="D290"/>
          <cell r="E290"/>
          <cell r="F290"/>
          <cell r="G290"/>
          <cell r="H290"/>
          <cell r="I290"/>
          <cell r="J290"/>
          <cell r="K290"/>
        </row>
        <row r="291"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</row>
        <row r="292">
          <cell r="B292" t="str">
            <v>PNDCO</v>
          </cell>
          <cell r="C292">
            <v>674.47513164999998</v>
          </cell>
          <cell r="D292">
            <v>677.49887257</v>
          </cell>
          <cell r="E292">
            <v>677.50654621000001</v>
          </cell>
          <cell r="F292">
            <v>679.39219269</v>
          </cell>
          <cell r="G292"/>
          <cell r="H292"/>
          <cell r="I292"/>
          <cell r="J292"/>
          <cell r="K292"/>
        </row>
        <row r="293">
          <cell r="B293" t="str">
            <v>YCAMO</v>
          </cell>
          <cell r="C293">
            <v>1633.73603619</v>
          </cell>
          <cell r="D293">
            <v>1641.03602925</v>
          </cell>
          <cell r="E293">
            <v>1641.0518640600001</v>
          </cell>
          <cell r="F293">
            <v>1645.7125263400001</v>
          </cell>
          <cell r="G293"/>
          <cell r="H293"/>
          <cell r="I293"/>
          <cell r="J293"/>
          <cell r="K293"/>
        </row>
        <row r="294">
          <cell r="B294" t="str">
            <v>AER4O</v>
          </cell>
          <cell r="C294">
            <v>1165.6023578700001</v>
          </cell>
          <cell r="D294">
            <v>1170.81319816</v>
          </cell>
          <cell r="E294">
            <v>1170.89048258</v>
          </cell>
          <cell r="F294">
            <v>1174.2388880200001</v>
          </cell>
          <cell r="G294"/>
          <cell r="H294"/>
          <cell r="I294"/>
          <cell r="J294"/>
          <cell r="K294"/>
        </row>
        <row r="295">
          <cell r="B295" t="str">
            <v>YMCIO</v>
          </cell>
          <cell r="C295">
            <v>1462.8308891199999</v>
          </cell>
          <cell r="D295">
            <v>1468.58118848</v>
          </cell>
          <cell r="E295">
            <v>1479.9957526200001</v>
          </cell>
          <cell r="F295">
            <v>1457.4392785800001</v>
          </cell>
          <cell r="G295"/>
          <cell r="H295"/>
          <cell r="I295"/>
          <cell r="J295"/>
          <cell r="K295"/>
        </row>
        <row r="296">
          <cell r="B296" t="str">
            <v>BYCHO</v>
          </cell>
          <cell r="C296">
            <v>1623.9837661199999</v>
          </cell>
          <cell r="D296">
            <v>1631.2388888200001</v>
          </cell>
          <cell r="E296">
            <v>1631.4062638099999</v>
          </cell>
          <cell r="F296">
            <v>1636.11834466</v>
          </cell>
          <cell r="G296"/>
          <cell r="H296"/>
          <cell r="I296"/>
          <cell r="J296"/>
          <cell r="K296"/>
        </row>
        <row r="297">
          <cell r="B297" t="str">
            <v>YMCUO</v>
          </cell>
          <cell r="C297">
            <v>1542.4532736399999</v>
          </cell>
          <cell r="D297">
            <v>1541.58013951</v>
          </cell>
          <cell r="E297">
            <v>1540.2658062099999</v>
          </cell>
          <cell r="F297">
            <v>1547.92641295</v>
          </cell>
          <cell r="G297"/>
          <cell r="H297"/>
          <cell r="I297"/>
          <cell r="J297"/>
          <cell r="K297"/>
        </row>
        <row r="298">
          <cell r="B298" t="str">
            <v>YMC1O</v>
          </cell>
          <cell r="C298">
            <v>1691.08940319</v>
          </cell>
          <cell r="D298">
            <v>1698.6443021600001</v>
          </cell>
          <cell r="E298">
            <v>1698.9831938299999</v>
          </cell>
          <cell r="F298">
            <v>1703.854004</v>
          </cell>
          <cell r="G298"/>
          <cell r="H298"/>
          <cell r="I298"/>
          <cell r="J298"/>
          <cell r="K298"/>
        </row>
        <row r="299">
          <cell r="B299" t="str">
            <v>ARC1O</v>
          </cell>
          <cell r="C299">
            <v>1615.1881081900001</v>
          </cell>
          <cell r="D299">
            <v>1632</v>
          </cell>
          <cell r="E299">
            <v>1644.1431799100001</v>
          </cell>
          <cell r="F299">
            <v>1648.78359819</v>
          </cell>
          <cell r="G299"/>
          <cell r="H299"/>
          <cell r="I299"/>
          <cell r="J299"/>
          <cell r="K299"/>
        </row>
        <row r="300">
          <cell r="B300" t="str">
            <v>TTCDO</v>
          </cell>
          <cell r="C300">
            <v>1665.1080989500001</v>
          </cell>
          <cell r="D300">
            <v>1677.4569559700001</v>
          </cell>
          <cell r="E300">
            <v>1678.83908703</v>
          </cell>
          <cell r="F300">
            <v>1682.3153434000001</v>
          </cell>
          <cell r="G300"/>
          <cell r="H300"/>
          <cell r="I300"/>
          <cell r="J300"/>
          <cell r="K300"/>
        </row>
        <row r="301">
          <cell r="B301" t="str">
            <v>YMCXO</v>
          </cell>
          <cell r="C301">
            <v>1665.31696182</v>
          </cell>
          <cell r="D301">
            <v>1667.95465175</v>
          </cell>
          <cell r="E301">
            <v>1670.9626485399999</v>
          </cell>
          <cell r="F301">
            <v>1688.11333539</v>
          </cell>
          <cell r="G301"/>
          <cell r="H301"/>
          <cell r="I301"/>
          <cell r="J301"/>
          <cell r="K301"/>
        </row>
        <row r="302">
          <cell r="B302" t="str">
            <v>PNXCO</v>
          </cell>
          <cell r="C302">
            <v>1714.6403582</v>
          </cell>
          <cell r="D302">
            <v>1722.2535623900001</v>
          </cell>
          <cell r="E302">
            <v>1723.1841516500001</v>
          </cell>
          <cell r="F302">
            <v>1727.89269745</v>
          </cell>
          <cell r="G302"/>
          <cell r="H302"/>
          <cell r="I302"/>
          <cell r="J302"/>
          <cell r="K302"/>
        </row>
        <row r="303">
          <cell r="B303" t="str">
            <v>PLC5O</v>
          </cell>
          <cell r="C303">
            <v>1676.0605709199999</v>
          </cell>
          <cell r="D303">
            <v>1690.55055941</v>
          </cell>
          <cell r="E303">
            <v>1691.4888791000001</v>
          </cell>
          <cell r="F303">
            <v>1696.1076631799999</v>
          </cell>
          <cell r="G303"/>
          <cell r="H303"/>
          <cell r="I303"/>
          <cell r="J303"/>
          <cell r="K303"/>
        </row>
        <row r="304">
          <cell r="B304" t="str">
            <v>TSC3O</v>
          </cell>
          <cell r="C304">
            <v>1682.96466562</v>
          </cell>
          <cell r="D304">
            <v>1690.43008824</v>
          </cell>
          <cell r="E304">
            <v>1691.43646644</v>
          </cell>
          <cell r="F304">
            <v>1696.0294940000001</v>
          </cell>
          <cell r="G304"/>
          <cell r="H304"/>
          <cell r="I304"/>
          <cell r="J304"/>
          <cell r="K304"/>
        </row>
        <row r="305">
          <cell r="B305" t="str">
            <v>YFCJO</v>
          </cell>
          <cell r="C305">
            <v>1672.7289968699999</v>
          </cell>
          <cell r="D305">
            <v>1680.1371829699999</v>
          </cell>
          <cell r="E305">
            <v>1617.56210599</v>
          </cell>
          <cell r="F305">
            <v>1621.9065422900001</v>
          </cell>
          <cell r="G305"/>
          <cell r="H305"/>
          <cell r="I305"/>
          <cell r="J305"/>
          <cell r="K305"/>
        </row>
        <row r="306">
          <cell r="B306" t="str">
            <v>MGCMO</v>
          </cell>
          <cell r="C306">
            <v>1676.3967856500001</v>
          </cell>
          <cell r="D306">
            <v>1635.5775711399999</v>
          </cell>
          <cell r="E306">
            <v>1636.61951374</v>
          </cell>
          <cell r="F306">
            <v>1675.66706043</v>
          </cell>
          <cell r="G306"/>
          <cell r="H306"/>
          <cell r="I306"/>
          <cell r="J306"/>
          <cell r="K306"/>
        </row>
        <row r="307">
          <cell r="B307" t="str">
            <v>TTCAO</v>
          </cell>
          <cell r="C307">
            <v>1618.6239282199999</v>
          </cell>
          <cell r="D307">
            <v>1625.77815493</v>
          </cell>
          <cell r="E307">
            <v>1626.9427610099999</v>
          </cell>
          <cell r="F307">
            <v>1631.2710692600001</v>
          </cell>
          <cell r="G307"/>
          <cell r="H307"/>
          <cell r="I307"/>
          <cell r="J307"/>
          <cell r="K307"/>
        </row>
        <row r="308">
          <cell r="B308" t="str">
            <v>PLC4O</v>
          </cell>
          <cell r="C308">
            <v>1700.2275896900001</v>
          </cell>
          <cell r="D308">
            <v>1693.01597339</v>
          </cell>
          <cell r="E308">
            <v>1697.84403505</v>
          </cell>
          <cell r="F308">
            <v>1698.4309017999999</v>
          </cell>
          <cell r="G308"/>
          <cell r="H308"/>
          <cell r="I308"/>
          <cell r="J308"/>
          <cell r="K308"/>
        </row>
        <row r="309">
          <cell r="B309" t="str">
            <v>VSCVO</v>
          </cell>
          <cell r="C309">
            <v>1709.3668225199999</v>
          </cell>
          <cell r="D309">
            <v>1706.22275498</v>
          </cell>
          <cell r="E309">
            <v>1714.64636933</v>
          </cell>
          <cell r="F309">
            <v>1732.5</v>
          </cell>
          <cell r="G309"/>
          <cell r="H309"/>
          <cell r="I309"/>
          <cell r="J309"/>
          <cell r="K309"/>
        </row>
        <row r="310">
          <cell r="B310" t="str">
            <v>YM34O</v>
          </cell>
          <cell r="C310">
            <v>1656.42586622</v>
          </cell>
          <cell r="D310">
            <v>1660.02525657</v>
          </cell>
          <cell r="E310">
            <v>1664.5701995500001</v>
          </cell>
          <cell r="F310">
            <v>1667.61094194</v>
          </cell>
          <cell r="G310"/>
          <cell r="H310"/>
          <cell r="I310"/>
          <cell r="J310"/>
          <cell r="K310"/>
        </row>
        <row r="311">
          <cell r="B311" t="str">
            <v>YMCJO</v>
          </cell>
          <cell r="C311">
            <v>1560.33051387</v>
          </cell>
          <cell r="D311">
            <v>1559.90754943</v>
          </cell>
          <cell r="E311">
            <v>1566.6988351099999</v>
          </cell>
          <cell r="F311">
            <v>1580.2615596400001</v>
          </cell>
          <cell r="G311"/>
          <cell r="H311"/>
          <cell r="I311"/>
          <cell r="J311"/>
          <cell r="K311"/>
        </row>
        <row r="312">
          <cell r="B312" t="str">
            <v>CAC5O</v>
          </cell>
          <cell r="C312">
            <v>825.61724356000002</v>
          </cell>
          <cell r="D312">
            <v>829.51440943</v>
          </cell>
          <cell r="E312">
            <v>829.52357602999996</v>
          </cell>
          <cell r="F312">
            <v>832.01691690999996</v>
          </cell>
          <cell r="G312"/>
          <cell r="H312"/>
          <cell r="I312"/>
          <cell r="J312"/>
          <cell r="K312"/>
        </row>
        <row r="313">
          <cell r="B313" t="str">
            <v>TLCMO</v>
          </cell>
          <cell r="C313">
            <v>1723.0319344699999</v>
          </cell>
          <cell r="D313">
            <v>1709.9214901</v>
          </cell>
          <cell r="E313">
            <v>1729.5727799199999</v>
          </cell>
          <cell r="F313">
            <v>1715.7647423400001</v>
          </cell>
          <cell r="G313"/>
          <cell r="H313"/>
          <cell r="I313"/>
          <cell r="J313"/>
          <cell r="K313"/>
        </row>
        <row r="314">
          <cell r="B314" t="str">
            <v>TLCPO</v>
          </cell>
          <cell r="C314">
            <v>1704.0721578099999</v>
          </cell>
          <cell r="D314">
            <v>1712.87403993</v>
          </cell>
          <cell r="E314">
            <v>1719.81274031</v>
          </cell>
          <cell r="F314">
            <v>1720.3308317799999</v>
          </cell>
          <cell r="G314"/>
          <cell r="H314"/>
          <cell r="I314"/>
          <cell r="J314"/>
          <cell r="K314"/>
        </row>
        <row r="315">
          <cell r="B315" t="str">
            <v>AEC2O</v>
          </cell>
          <cell r="C315">
            <v>811.72890115999996</v>
          </cell>
          <cell r="D315">
            <v>815.35395503999996</v>
          </cell>
          <cell r="E315">
            <v>815.25067676000003</v>
          </cell>
          <cell r="F315">
            <v>817.67475632000003</v>
          </cell>
          <cell r="G315"/>
          <cell r="H315"/>
          <cell r="I315"/>
          <cell r="J315"/>
          <cell r="K315"/>
        </row>
        <row r="316">
          <cell r="B316"/>
          <cell r="C316"/>
          <cell r="D316"/>
          <cell r="E316"/>
          <cell r="F316"/>
          <cell r="G316"/>
          <cell r="H316"/>
          <cell r="I316"/>
          <cell r="J316"/>
          <cell r="K316"/>
        </row>
        <row r="317">
          <cell r="B317" t="str">
            <v>Obligaciones Negociables Dólar linked</v>
          </cell>
          <cell r="C317"/>
          <cell r="D317"/>
          <cell r="E317"/>
          <cell r="F317"/>
          <cell r="G317"/>
          <cell r="H317"/>
          <cell r="I317"/>
          <cell r="J317"/>
          <cell r="K317"/>
        </row>
        <row r="318"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</row>
        <row r="319">
          <cell r="B319" t="str">
            <v>GE22P</v>
          </cell>
          <cell r="C319">
            <v>516.94365468000001</v>
          </cell>
          <cell r="D319">
            <v>516.58008455000004</v>
          </cell>
          <cell r="E319">
            <v>520.63846892000004</v>
          </cell>
          <cell r="F319">
            <v>519.74120073999995</v>
          </cell>
          <cell r="G319"/>
          <cell r="H319"/>
          <cell r="I319"/>
          <cell r="J319"/>
          <cell r="K319"/>
        </row>
        <row r="320">
          <cell r="B320" t="str">
            <v>HA12L</v>
          </cell>
          <cell r="C320">
            <v>1579.8947735500001</v>
          </cell>
          <cell r="D320">
            <v>1580.7632803700001</v>
          </cell>
          <cell r="E320">
            <v>1565.6435914599999</v>
          </cell>
          <cell r="F320">
            <v>1562.53264857</v>
          </cell>
          <cell r="G320"/>
          <cell r="H320"/>
          <cell r="I320"/>
          <cell r="J320"/>
          <cell r="K320"/>
        </row>
        <row r="321">
          <cell r="B321" t="str">
            <v>APS1L</v>
          </cell>
          <cell r="C321">
            <v>1521.6195374900001</v>
          </cell>
          <cell r="D321">
            <v>1520.60780383</v>
          </cell>
          <cell r="E321">
            <v>1534.71398712</v>
          </cell>
          <cell r="F321">
            <v>1536.40897047</v>
          </cell>
          <cell r="G321"/>
          <cell r="H321"/>
          <cell r="I321"/>
          <cell r="J321"/>
          <cell r="K321"/>
        </row>
        <row r="322">
          <cell r="B322" t="str">
            <v>GN37O</v>
          </cell>
          <cell r="C322">
            <v>504.20587346999997</v>
          </cell>
          <cell r="D322">
            <v>503.82137089999998</v>
          </cell>
          <cell r="E322">
            <v>504.76104951999997</v>
          </cell>
          <cell r="F322">
            <v>504.63588195</v>
          </cell>
          <cell r="G322"/>
          <cell r="H322"/>
          <cell r="I322"/>
          <cell r="J322"/>
          <cell r="K322"/>
        </row>
        <row r="323">
          <cell r="B323" t="str">
            <v>VSCIO</v>
          </cell>
          <cell r="C323">
            <v>1508.42451065</v>
          </cell>
          <cell r="D323">
            <v>1507.28657985</v>
          </cell>
          <cell r="E323">
            <v>1513.17288596</v>
          </cell>
          <cell r="F323">
            <v>1511.85229478</v>
          </cell>
          <cell r="G323"/>
          <cell r="H323"/>
          <cell r="I323"/>
          <cell r="J323"/>
          <cell r="K323"/>
        </row>
        <row r="324">
          <cell r="B324" t="str">
            <v>PNJCO</v>
          </cell>
          <cell r="C324">
            <v>1508.40711874</v>
          </cell>
          <cell r="D324">
            <v>1507.2930065999999</v>
          </cell>
          <cell r="E324">
            <v>1518.2443563700001</v>
          </cell>
          <cell r="F324">
            <v>1515.6322462600001</v>
          </cell>
          <cell r="G324"/>
          <cell r="H324"/>
          <cell r="I324"/>
          <cell r="J324"/>
          <cell r="K324"/>
        </row>
        <row r="325">
          <cell r="B325" t="str">
            <v>VSCJO</v>
          </cell>
          <cell r="C325">
            <v>1494.9226670800001</v>
          </cell>
          <cell r="D325">
            <v>1493.8265848599999</v>
          </cell>
          <cell r="E325">
            <v>1507.50283233</v>
          </cell>
          <cell r="F325">
            <v>1503.26730535</v>
          </cell>
          <cell r="G325"/>
          <cell r="H325"/>
          <cell r="I325"/>
          <cell r="J325"/>
          <cell r="K325"/>
        </row>
        <row r="326">
          <cell r="B326" t="str">
            <v>TLCDO</v>
          </cell>
          <cell r="C326">
            <v>1501.3099210299999</v>
          </cell>
          <cell r="D326">
            <v>1500.2110716</v>
          </cell>
          <cell r="E326">
            <v>1512.7</v>
          </cell>
          <cell r="F326">
            <v>1509.96118422</v>
          </cell>
          <cell r="G326"/>
          <cell r="H326"/>
          <cell r="I326"/>
          <cell r="J326"/>
          <cell r="K326"/>
        </row>
        <row r="327">
          <cell r="B327" t="str">
            <v>PNZCO</v>
          </cell>
          <cell r="C327">
            <v>1471.0919609</v>
          </cell>
          <cell r="D327">
            <v>1470.04774236</v>
          </cell>
          <cell r="E327">
            <v>1485.89258187</v>
          </cell>
          <cell r="F327">
            <v>1483.62681806</v>
          </cell>
          <cell r="G327"/>
          <cell r="H327"/>
          <cell r="I327"/>
          <cell r="J327"/>
          <cell r="K327"/>
        </row>
        <row r="328">
          <cell r="B328" t="str">
            <v>OLC3O</v>
          </cell>
          <cell r="C328">
            <v>1469.6394851800001</v>
          </cell>
          <cell r="D328">
            <v>1468.59788948</v>
          </cell>
          <cell r="E328">
            <v>1483.24</v>
          </cell>
          <cell r="F328">
            <v>1477.90832639</v>
          </cell>
          <cell r="G328"/>
          <cell r="H328"/>
          <cell r="I328"/>
          <cell r="J328"/>
          <cell r="K328"/>
        </row>
        <row r="329">
          <cell r="B329" t="str">
            <v>MGCEO</v>
          </cell>
          <cell r="C329">
            <v>1434.07401615</v>
          </cell>
          <cell r="D329">
            <v>1433.0854109899999</v>
          </cell>
          <cell r="E329">
            <v>1447.04122654</v>
          </cell>
          <cell r="F329">
            <v>1448.92541585</v>
          </cell>
          <cell r="G329"/>
          <cell r="H329"/>
          <cell r="I329"/>
          <cell r="J329"/>
          <cell r="K329"/>
        </row>
        <row r="330">
          <cell r="B330" t="str">
            <v>OLC2O</v>
          </cell>
          <cell r="C330">
            <v>1418.80857186</v>
          </cell>
          <cell r="D330">
            <v>1417.8463737</v>
          </cell>
          <cell r="E330">
            <v>1429.25</v>
          </cell>
          <cell r="F330">
            <v>1434.7264678900001</v>
          </cell>
          <cell r="G330"/>
          <cell r="H330"/>
          <cell r="I330"/>
          <cell r="J330"/>
          <cell r="K330"/>
        </row>
        <row r="331">
          <cell r="B331" t="str">
            <v>MR43O</v>
          </cell>
          <cell r="C331">
            <v>454.75628999999998</v>
          </cell>
          <cell r="D331">
            <v>454.36964999999998</v>
          </cell>
          <cell r="E331">
            <v>454.17923999999999</v>
          </cell>
          <cell r="F331">
            <v>454.36964999999998</v>
          </cell>
          <cell r="G331"/>
          <cell r="H331"/>
          <cell r="I331"/>
          <cell r="J331"/>
          <cell r="K331"/>
        </row>
        <row r="332">
          <cell r="B332" t="str">
            <v>DRSAO</v>
          </cell>
          <cell r="C332">
            <v>9.9999999999999995E-8</v>
          </cell>
          <cell r="D332">
            <v>9.9999999999999995E-8</v>
          </cell>
          <cell r="E332">
            <v>9.9999999999999995E-8</v>
          </cell>
          <cell r="F332">
            <v>9.9999999999999995E-8</v>
          </cell>
          <cell r="G332"/>
          <cell r="H332"/>
          <cell r="I332"/>
          <cell r="J332"/>
          <cell r="K332"/>
        </row>
        <row r="333">
          <cell r="B333"/>
          <cell r="C333"/>
          <cell r="D333"/>
          <cell r="E333"/>
          <cell r="F333"/>
          <cell r="G333"/>
          <cell r="H333"/>
          <cell r="I333"/>
          <cell r="J333"/>
          <cell r="K333"/>
        </row>
        <row r="334">
          <cell r="B334" t="str">
            <v>Fideicomisos Financieros Tamar</v>
          </cell>
          <cell r="C334"/>
          <cell r="D334"/>
          <cell r="E334"/>
          <cell r="F334"/>
          <cell r="G334"/>
          <cell r="H334"/>
          <cell r="I334"/>
          <cell r="J334"/>
          <cell r="K334"/>
        </row>
        <row r="335">
          <cell r="B335"/>
          <cell r="C335"/>
          <cell r="D335"/>
          <cell r="E335"/>
          <cell r="F335"/>
          <cell r="G335"/>
          <cell r="H335"/>
          <cell r="I335"/>
          <cell r="J335"/>
          <cell r="K335"/>
        </row>
        <row r="336">
          <cell r="B336" t="str">
            <v>CO18A</v>
          </cell>
          <cell r="C336">
            <v>0.25090884000000002</v>
          </cell>
          <cell r="D336">
            <v>0.25110321000000002</v>
          </cell>
          <cell r="E336">
            <v>0.25131713999999999</v>
          </cell>
          <cell r="F336">
            <v>0.25186530000000001</v>
          </cell>
          <cell r="G336"/>
          <cell r="H336"/>
          <cell r="I336"/>
          <cell r="J336"/>
          <cell r="K336"/>
        </row>
        <row r="337">
          <cell r="B337" t="str">
            <v>CO17A</v>
          </cell>
          <cell r="C337">
            <v>0.25789625999999999</v>
          </cell>
          <cell r="D337">
            <v>0.25809604000000003</v>
          </cell>
          <cell r="E337">
            <v>0.25831591999999998</v>
          </cell>
          <cell r="F337">
            <v>0.25887936</v>
          </cell>
          <cell r="G337"/>
          <cell r="H337"/>
          <cell r="I337"/>
          <cell r="J337"/>
          <cell r="K337"/>
        </row>
        <row r="338">
          <cell r="B338" t="str">
            <v>CO19A</v>
          </cell>
          <cell r="C338">
            <v>0.88711264999999995</v>
          </cell>
          <cell r="D338">
            <v>0.88801664999999996</v>
          </cell>
          <cell r="E338">
            <v>0.88615838999999996</v>
          </cell>
          <cell r="F338">
            <v>0.88909039999999995</v>
          </cell>
          <cell r="G338"/>
          <cell r="H338"/>
          <cell r="I338"/>
          <cell r="J338"/>
          <cell r="K338"/>
        </row>
        <row r="339">
          <cell r="B339" t="str">
            <v>CO20A</v>
          </cell>
          <cell r="C339">
            <v>1.0079268400000001</v>
          </cell>
          <cell r="D339">
            <v>1.00896915</v>
          </cell>
          <cell r="E339">
            <v>1.0052874599999999</v>
          </cell>
          <cell r="F339">
            <v>1.0085335099999999</v>
          </cell>
          <cell r="G339"/>
          <cell r="H339"/>
          <cell r="I339"/>
          <cell r="J339"/>
          <cell r="K339"/>
        </row>
        <row r="340">
          <cell r="B340" t="str">
            <v>CF82A</v>
          </cell>
          <cell r="C340">
            <v>6.7369719999999994E-2</v>
          </cell>
          <cell r="D340">
            <v>6.7421930000000005E-2</v>
          </cell>
          <cell r="E340">
            <v>6.7479380000000005E-2</v>
          </cell>
          <cell r="F340">
            <v>6.7626610000000004E-2</v>
          </cell>
          <cell r="G340"/>
          <cell r="H340"/>
          <cell r="I340"/>
          <cell r="J340"/>
          <cell r="K340"/>
        </row>
        <row r="341">
          <cell r="B341" t="str">
            <v>M333A</v>
          </cell>
          <cell r="C341">
            <v>0.19060743999999999</v>
          </cell>
          <cell r="D341">
            <v>0.19076082</v>
          </cell>
          <cell r="E341">
            <v>0.19095110000000001</v>
          </cell>
          <cell r="F341">
            <v>0.19139523999999999</v>
          </cell>
          <cell r="G341"/>
          <cell r="H341"/>
          <cell r="I341"/>
          <cell r="J341"/>
          <cell r="K341"/>
        </row>
        <row r="342">
          <cell r="B342" t="str">
            <v>M331A</v>
          </cell>
          <cell r="C342">
            <v>9.6819630000000004E-2</v>
          </cell>
          <cell r="D342">
            <v>9.6897540000000004E-2</v>
          </cell>
          <cell r="E342">
            <v>9.6994200000000003E-2</v>
          </cell>
          <cell r="F342">
            <v>9.7219799999999995E-2</v>
          </cell>
          <cell r="G342"/>
          <cell r="H342"/>
          <cell r="I342"/>
          <cell r="J342"/>
          <cell r="K342"/>
        </row>
        <row r="343">
          <cell r="B343" t="str">
            <v>M327A</v>
          </cell>
          <cell r="C343">
            <v>2.6709210000000001E-2</v>
          </cell>
          <cell r="D343">
            <v>2.67307E-2</v>
          </cell>
          <cell r="E343">
            <v>2.6757369999999999E-2</v>
          </cell>
          <cell r="F343">
            <v>2.6819599999999999E-2</v>
          </cell>
          <cell r="G343"/>
          <cell r="H343"/>
          <cell r="I343"/>
          <cell r="J343"/>
          <cell r="K343"/>
        </row>
        <row r="344">
          <cell r="B344" t="str">
            <v>M329A</v>
          </cell>
          <cell r="C344">
            <v>5.927528E-2</v>
          </cell>
          <cell r="D344">
            <v>5.9322979999999997E-2</v>
          </cell>
          <cell r="E344">
            <v>5.9382160000000003E-2</v>
          </cell>
          <cell r="F344">
            <v>5.9520280000000002E-2</v>
          </cell>
          <cell r="G344"/>
          <cell r="H344"/>
          <cell r="I344"/>
          <cell r="J344"/>
          <cell r="K344"/>
        </row>
        <row r="345">
          <cell r="B345" t="str">
            <v>CF84A</v>
          </cell>
          <cell r="C345">
            <v>1.5900959999999999E-2</v>
          </cell>
          <cell r="D345">
            <v>1.5913279999999998E-2</v>
          </cell>
          <cell r="E345">
            <v>1.5926840000000001E-2</v>
          </cell>
          <cell r="F345">
            <v>1.5961590000000001E-2</v>
          </cell>
          <cell r="G345"/>
          <cell r="H345"/>
          <cell r="I345"/>
          <cell r="J345"/>
          <cell r="K345"/>
        </row>
        <row r="346">
          <cell r="B346" t="str">
            <v>M322A</v>
          </cell>
          <cell r="C346">
            <v>7.8810179999999994E-2</v>
          </cell>
          <cell r="D346">
            <v>7.8873990000000005E-2</v>
          </cell>
          <cell r="E346">
            <v>7.8954440000000001E-2</v>
          </cell>
          <cell r="F346">
            <v>7.9139920000000002E-2</v>
          </cell>
          <cell r="G346"/>
          <cell r="H346"/>
          <cell r="I346"/>
          <cell r="J346"/>
          <cell r="K346"/>
        </row>
        <row r="347">
          <cell r="B347" t="str">
            <v>M320A</v>
          </cell>
          <cell r="C347">
            <v>2.4081439999999999E-2</v>
          </cell>
          <cell r="D347">
            <v>2.4100940000000001E-2</v>
          </cell>
          <cell r="E347">
            <v>2.4125520000000001E-2</v>
          </cell>
          <cell r="F347">
            <v>2.4182200000000001E-2</v>
          </cell>
          <cell r="G347"/>
          <cell r="H347"/>
          <cell r="I347"/>
          <cell r="J347"/>
          <cell r="K347"/>
        </row>
        <row r="348">
          <cell r="B348" t="str">
            <v>CU56A</v>
          </cell>
          <cell r="C348">
            <v>3.9879240000000003E-2</v>
          </cell>
          <cell r="D348">
            <v>3.9910139999999997E-2</v>
          </cell>
          <cell r="E348">
            <v>3.9944149999999998E-2</v>
          </cell>
          <cell r="F348">
            <v>4.0031299999999999E-2</v>
          </cell>
          <cell r="G348"/>
          <cell r="H348"/>
          <cell r="I348"/>
          <cell r="J348"/>
          <cell r="K348"/>
        </row>
        <row r="349">
          <cell r="B349" t="str">
            <v>C199A</v>
          </cell>
          <cell r="C349">
            <v>2.5386100000000002E-2</v>
          </cell>
          <cell r="D349">
            <v>2.5406519999999998E-2</v>
          </cell>
          <cell r="E349">
            <v>2.5431869999999999E-2</v>
          </cell>
          <cell r="F349">
            <v>2.549102E-2</v>
          </cell>
          <cell r="G349"/>
          <cell r="H349"/>
          <cell r="I349"/>
          <cell r="J349"/>
          <cell r="K349"/>
        </row>
        <row r="350">
          <cell r="B350" t="str">
            <v>CF83A</v>
          </cell>
          <cell r="C350">
            <v>0.24853217999999999</v>
          </cell>
          <cell r="D350">
            <v>0.24872477000000001</v>
          </cell>
          <cell r="E350">
            <v>0.24893672</v>
          </cell>
          <cell r="F350">
            <v>0.24947985</v>
          </cell>
          <cell r="G350"/>
          <cell r="H350"/>
          <cell r="I350"/>
          <cell r="J350"/>
          <cell r="K350"/>
        </row>
        <row r="351">
          <cell r="B351" t="str">
            <v>CU57A</v>
          </cell>
          <cell r="C351">
            <v>0.21502315999999999</v>
          </cell>
          <cell r="D351">
            <v>0.21519680999999999</v>
          </cell>
          <cell r="E351">
            <v>0.21543802000000001</v>
          </cell>
          <cell r="F351">
            <v>0.21598149</v>
          </cell>
          <cell r="G351"/>
          <cell r="H351"/>
          <cell r="I351"/>
          <cell r="J351"/>
          <cell r="K351"/>
        </row>
        <row r="352">
          <cell r="B352" t="str">
            <v>CU58A</v>
          </cell>
          <cell r="C352">
            <v>0.30277133000000001</v>
          </cell>
          <cell r="D352">
            <v>0.30302244</v>
          </cell>
          <cell r="E352">
            <v>0.30340075999999999</v>
          </cell>
          <cell r="F352">
            <v>0.30423043</v>
          </cell>
          <cell r="G352"/>
          <cell r="H352"/>
          <cell r="I352"/>
          <cell r="J352"/>
          <cell r="K352"/>
        </row>
        <row r="353">
          <cell r="B353" t="str">
            <v>DT44A</v>
          </cell>
          <cell r="C353">
            <v>0.32175555</v>
          </cell>
          <cell r="D353">
            <v>0.16030923999999999</v>
          </cell>
          <cell r="E353">
            <v>0.16052791999999999</v>
          </cell>
          <cell r="F353">
            <v>0.16098144</v>
          </cell>
          <cell r="G353"/>
          <cell r="H353"/>
          <cell r="I353"/>
          <cell r="J353"/>
          <cell r="K353"/>
        </row>
        <row r="354">
          <cell r="B354" t="str">
            <v>DT45A</v>
          </cell>
          <cell r="C354">
            <v>0.46192144000000002</v>
          </cell>
          <cell r="D354">
            <v>0.26520081000000001</v>
          </cell>
          <cell r="E354">
            <v>0.26557682999999999</v>
          </cell>
          <cell r="F354">
            <v>0.26636841</v>
          </cell>
          <cell r="G354"/>
          <cell r="H354"/>
          <cell r="I354"/>
          <cell r="J354"/>
          <cell r="K354"/>
        </row>
        <row r="355">
          <cell r="B355" t="str">
            <v>CU59A</v>
          </cell>
          <cell r="C355">
            <v>0.63041493000000004</v>
          </cell>
          <cell r="D355">
            <v>0.63095027999999997</v>
          </cell>
          <cell r="E355">
            <v>0.63172737000000001</v>
          </cell>
          <cell r="F355">
            <v>0.63355298999999998</v>
          </cell>
          <cell r="G355"/>
          <cell r="H355"/>
          <cell r="I355"/>
          <cell r="J355"/>
          <cell r="K355"/>
        </row>
        <row r="356">
          <cell r="B356" t="str">
            <v>M341A</v>
          </cell>
          <cell r="C356">
            <v>0.23392262</v>
          </cell>
          <cell r="D356">
            <v>0.23413233</v>
          </cell>
          <cell r="E356">
            <v>0.23469999999999999</v>
          </cell>
          <cell r="F356">
            <v>0.23520160000000001</v>
          </cell>
          <cell r="G356"/>
          <cell r="H356"/>
          <cell r="I356"/>
          <cell r="J356"/>
          <cell r="K356"/>
        </row>
        <row r="357">
          <cell r="B357" t="str">
            <v>C200A</v>
          </cell>
          <cell r="C357">
            <v>0.36378385000000002</v>
          </cell>
          <cell r="D357">
            <v>0.36410178999999998</v>
          </cell>
          <cell r="E357">
            <v>0.36456897999999999</v>
          </cell>
          <cell r="F357">
            <v>0.36565166999999998</v>
          </cell>
          <cell r="G357"/>
          <cell r="H357"/>
          <cell r="I357"/>
          <cell r="J357"/>
          <cell r="K357"/>
        </row>
        <row r="358">
          <cell r="B358" t="str">
            <v>M343A</v>
          </cell>
          <cell r="C358">
            <v>0.35075334000000002</v>
          </cell>
          <cell r="D358">
            <v>0.35106135999999999</v>
          </cell>
          <cell r="E358">
            <v>0.35151437000000002</v>
          </cell>
          <cell r="F358">
            <v>0.35261068000000001</v>
          </cell>
          <cell r="G358"/>
          <cell r="H358"/>
          <cell r="I358"/>
          <cell r="J358"/>
          <cell r="K358"/>
        </row>
        <row r="359">
          <cell r="B359" t="str">
            <v>C201A</v>
          </cell>
          <cell r="C359">
            <v>0.40433445000000001</v>
          </cell>
          <cell r="D359">
            <v>0.40469168</v>
          </cell>
          <cell r="E359">
            <v>0.40520201</v>
          </cell>
          <cell r="F359">
            <v>0.40643519</v>
          </cell>
          <cell r="G359"/>
          <cell r="H359"/>
          <cell r="I359"/>
          <cell r="J359"/>
          <cell r="K359"/>
        </row>
        <row r="360">
          <cell r="B360" t="str">
            <v>CF86A</v>
          </cell>
          <cell r="C360">
            <v>0.53525060999999996</v>
          </cell>
          <cell r="D360">
            <v>0.53571482000000004</v>
          </cell>
          <cell r="E360">
            <v>0.53638481999999998</v>
          </cell>
          <cell r="F360">
            <v>0.53802231</v>
          </cell>
          <cell r="G360"/>
          <cell r="H360"/>
          <cell r="I360"/>
          <cell r="J360"/>
          <cell r="K360"/>
        </row>
        <row r="361">
          <cell r="B361" t="str">
            <v>DT46A</v>
          </cell>
          <cell r="C361">
            <v>1.0167199200000001</v>
          </cell>
          <cell r="D361">
            <v>0.62513430999999997</v>
          </cell>
          <cell r="E361">
            <v>0.62601167999999996</v>
          </cell>
          <cell r="F361">
            <v>0.62804340000000003</v>
          </cell>
          <cell r="G361"/>
          <cell r="H361"/>
          <cell r="I361"/>
          <cell r="J361"/>
          <cell r="K361"/>
        </row>
        <row r="362">
          <cell r="B362" t="str">
            <v>M345A</v>
          </cell>
          <cell r="C362">
            <v>0.42736681999999998</v>
          </cell>
          <cell r="D362">
            <v>0.42775018999999997</v>
          </cell>
          <cell r="E362">
            <v>0.42826718000000003</v>
          </cell>
          <cell r="F362">
            <v>0.42965768999999998</v>
          </cell>
          <cell r="G362"/>
          <cell r="H362"/>
          <cell r="I362"/>
          <cell r="J362"/>
          <cell r="K362"/>
        </row>
        <row r="363">
          <cell r="B363" t="str">
            <v>CU60A</v>
          </cell>
          <cell r="C363">
            <v>1.0168219300000001</v>
          </cell>
          <cell r="D363">
            <v>1.01770268</v>
          </cell>
          <cell r="E363">
            <v>1.0188719399999999</v>
          </cell>
          <cell r="F363">
            <v>1.02192569</v>
          </cell>
          <cell r="G363"/>
          <cell r="H363"/>
          <cell r="I363"/>
          <cell r="J363"/>
          <cell r="K363"/>
        </row>
        <row r="364">
          <cell r="B364" t="str">
            <v>CU61A</v>
          </cell>
          <cell r="C364">
            <v>0.99295317999999999</v>
          </cell>
          <cell r="D364">
            <v>0.99393103000000005</v>
          </cell>
          <cell r="E364">
            <v>0.99550000000000005</v>
          </cell>
          <cell r="F364">
            <v>0.99839175000000002</v>
          </cell>
          <cell r="G364"/>
          <cell r="H364"/>
          <cell r="I364"/>
          <cell r="J364"/>
          <cell r="K364"/>
        </row>
        <row r="365">
          <cell r="B365" t="str">
            <v>M347A</v>
          </cell>
          <cell r="C365">
            <v>0.52068219999999998</v>
          </cell>
          <cell r="D365">
            <v>0.52116324999999997</v>
          </cell>
          <cell r="E365">
            <v>0.52167286000000002</v>
          </cell>
          <cell r="F365">
            <v>0.52344632000000002</v>
          </cell>
          <cell r="G365"/>
          <cell r="H365"/>
          <cell r="I365"/>
          <cell r="J365"/>
          <cell r="K365"/>
        </row>
        <row r="366">
          <cell r="B366" t="str">
            <v>C202A</v>
          </cell>
          <cell r="C366">
            <v>0.71849492000000004</v>
          </cell>
          <cell r="D366">
            <v>0.71918325000000005</v>
          </cell>
          <cell r="E366">
            <v>0.71952355000000001</v>
          </cell>
          <cell r="F366">
            <v>0.72199400999999996</v>
          </cell>
          <cell r="G366"/>
          <cell r="H366"/>
          <cell r="I366"/>
          <cell r="J366"/>
          <cell r="K366"/>
        </row>
        <row r="367">
          <cell r="B367" t="str">
            <v>SK01A</v>
          </cell>
          <cell r="C367">
            <v>0.41625359000000001</v>
          </cell>
          <cell r="D367">
            <v>0.32026729999999998</v>
          </cell>
          <cell r="E367">
            <v>0.32060068000000003</v>
          </cell>
          <cell r="F367">
            <v>0.32173695000000002</v>
          </cell>
          <cell r="G367"/>
          <cell r="H367"/>
          <cell r="I367"/>
          <cell r="J367"/>
          <cell r="K367"/>
        </row>
        <row r="368">
          <cell r="B368" t="str">
            <v>DT47A</v>
          </cell>
          <cell r="C368">
            <v>1.01311522</v>
          </cell>
          <cell r="D368">
            <v>0.99341031000000002</v>
          </cell>
          <cell r="E368">
            <v>0.99454737000000004</v>
          </cell>
          <cell r="F368">
            <v>0.99799011999999998</v>
          </cell>
          <cell r="G368"/>
          <cell r="H368"/>
          <cell r="I368"/>
          <cell r="J368"/>
          <cell r="K368"/>
        </row>
        <row r="369">
          <cell r="B369" t="str">
            <v>M349A</v>
          </cell>
          <cell r="C369">
            <v>0.63130010999999997</v>
          </cell>
          <cell r="D369">
            <v>0.63189753999999998</v>
          </cell>
          <cell r="E369">
            <v>0.63228983999999999</v>
          </cell>
          <cell r="F369">
            <v>0.63448892999999995</v>
          </cell>
          <cell r="G369"/>
          <cell r="H369"/>
          <cell r="I369"/>
          <cell r="J369"/>
          <cell r="K369"/>
        </row>
        <row r="370">
          <cell r="B370" t="str">
            <v>M351A</v>
          </cell>
          <cell r="C370">
            <v>0.69363041999999997</v>
          </cell>
          <cell r="D370">
            <v>0.69429116999999996</v>
          </cell>
          <cell r="E370">
            <v>0.69463675999999996</v>
          </cell>
          <cell r="F370">
            <v>0.69706279000000004</v>
          </cell>
          <cell r="G370"/>
          <cell r="H370"/>
          <cell r="I370"/>
          <cell r="J370"/>
          <cell r="K370"/>
        </row>
        <row r="371">
          <cell r="B371" t="str">
            <v>M353A</v>
          </cell>
          <cell r="C371">
            <v>0.78849597999999999</v>
          </cell>
          <cell r="D371">
            <v>0.78925034999999999</v>
          </cell>
          <cell r="E371">
            <v>0.78953068999999998</v>
          </cell>
          <cell r="F371">
            <v>0.79228166</v>
          </cell>
          <cell r="G371"/>
          <cell r="H371"/>
          <cell r="I371"/>
          <cell r="J371"/>
          <cell r="K371"/>
        </row>
        <row r="372">
          <cell r="B372" t="str">
            <v>M355A</v>
          </cell>
          <cell r="C372">
            <v>0.91740557</v>
          </cell>
          <cell r="D372">
            <v>0.91829477999999998</v>
          </cell>
          <cell r="E372">
            <v>0.91834532000000002</v>
          </cell>
          <cell r="F372">
            <v>0.92155686999999997</v>
          </cell>
          <cell r="G372"/>
          <cell r="H372"/>
          <cell r="I372"/>
          <cell r="J372"/>
          <cell r="K372"/>
        </row>
        <row r="373">
          <cell r="B373" t="str">
            <v>DT48A</v>
          </cell>
          <cell r="C373">
            <v>1.0111099400000001</v>
          </cell>
          <cell r="D373">
            <v>0.99144527000000005</v>
          </cell>
          <cell r="E373">
            <v>0.99227204000000002</v>
          </cell>
          <cell r="F373">
            <v>0.99597301000000005</v>
          </cell>
          <cell r="G373"/>
          <cell r="H373"/>
          <cell r="I373"/>
          <cell r="J373"/>
          <cell r="K373"/>
        </row>
        <row r="374">
          <cell r="B374" t="str">
            <v>DT49A</v>
          </cell>
          <cell r="C374">
            <v>1.00904014</v>
          </cell>
          <cell r="D374">
            <v>0.98940744000000003</v>
          </cell>
          <cell r="E374">
            <v>0.98976476999999996</v>
          </cell>
          <cell r="F374">
            <v>0.99359967000000005</v>
          </cell>
          <cell r="G374"/>
          <cell r="H374"/>
          <cell r="I374"/>
          <cell r="J374"/>
          <cell r="K374"/>
        </row>
        <row r="375">
          <cell r="B375" t="str">
            <v>M357A</v>
          </cell>
          <cell r="C375">
            <v>1.04066547</v>
          </cell>
          <cell r="D375">
            <v>1.04169661</v>
          </cell>
          <cell r="E375">
            <v>1.04114968</v>
          </cell>
          <cell r="F375">
            <v>1.0448016600000001</v>
          </cell>
          <cell r="G375"/>
          <cell r="H375"/>
          <cell r="I375"/>
          <cell r="J375"/>
          <cell r="K375"/>
        </row>
        <row r="376">
          <cell r="B376" t="str">
            <v>DT50A</v>
          </cell>
          <cell r="C376">
            <v>1.00841636</v>
          </cell>
          <cell r="D376">
            <v>0.98878944999999996</v>
          </cell>
          <cell r="E376">
            <v>0.98895407999999996</v>
          </cell>
          <cell r="F376">
            <v>0.99277937999999999</v>
          </cell>
          <cell r="G376"/>
          <cell r="H376"/>
          <cell r="I376"/>
          <cell r="J376"/>
          <cell r="K376"/>
        </row>
        <row r="377">
          <cell r="B377" t="str">
            <v>WC08A</v>
          </cell>
          <cell r="C377">
            <v>0.91917406000000001</v>
          </cell>
          <cell r="D377">
            <v>0.81826155</v>
          </cell>
          <cell r="E377">
            <v>0.8171851</v>
          </cell>
          <cell r="F377">
            <v>0.82004131999999996</v>
          </cell>
          <cell r="G377"/>
          <cell r="H377"/>
          <cell r="I377"/>
          <cell r="J377"/>
          <cell r="K377"/>
        </row>
        <row r="378">
          <cell r="B378" t="str">
            <v>M359A</v>
          </cell>
          <cell r="C378">
            <v>1.0122099499999999</v>
          </cell>
          <cell r="D378">
            <v>1.01324367</v>
          </cell>
          <cell r="E378">
            <v>1.01241041</v>
          </cell>
          <cell r="F378">
            <v>1.0161020599999999</v>
          </cell>
          <cell r="G378"/>
          <cell r="H378"/>
          <cell r="I378"/>
          <cell r="J378"/>
          <cell r="K378"/>
        </row>
        <row r="379">
          <cell r="B379" t="str">
            <v>SK02A</v>
          </cell>
          <cell r="C379">
            <v>0.76983424</v>
          </cell>
          <cell r="D379">
            <v>0.69091265999999996</v>
          </cell>
          <cell r="E379">
            <v>0.68951382000000006</v>
          </cell>
          <cell r="F379">
            <v>0.69188320999999997</v>
          </cell>
          <cell r="G379"/>
          <cell r="H379"/>
          <cell r="I379"/>
          <cell r="J379"/>
          <cell r="K379"/>
        </row>
        <row r="380">
          <cell r="B380" t="str">
            <v>DT54A</v>
          </cell>
          <cell r="C380">
            <v>0.98302480000000003</v>
          </cell>
          <cell r="D380">
            <v>0.98065654000000002</v>
          </cell>
          <cell r="E380">
            <v>0.97740302999999995</v>
          </cell>
          <cell r="F380">
            <v>0.98092436999999999</v>
          </cell>
          <cell r="G380"/>
          <cell r="H380"/>
          <cell r="I380"/>
          <cell r="J380"/>
          <cell r="K380"/>
        </row>
        <row r="381">
          <cell r="B381" t="str">
            <v>DT55A</v>
          </cell>
          <cell r="C381"/>
          <cell r="D381"/>
          <cell r="E381">
            <v>0.95487200000000005</v>
          </cell>
          <cell r="F381">
            <v>0.96048602000000005</v>
          </cell>
          <cell r="G381"/>
          <cell r="H381"/>
          <cell r="I381"/>
          <cell r="J381"/>
          <cell r="K381"/>
        </row>
        <row r="382"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</row>
        <row r="383">
          <cell r="B383" t="str">
            <v>Acciones en Pesos</v>
          </cell>
          <cell r="C383"/>
          <cell r="D383"/>
          <cell r="E383"/>
          <cell r="F383"/>
          <cell r="G383"/>
          <cell r="H383"/>
          <cell r="I383"/>
          <cell r="J383"/>
          <cell r="K383"/>
        </row>
        <row r="384">
          <cell r="B384"/>
          <cell r="C384"/>
          <cell r="D384"/>
          <cell r="E384"/>
          <cell r="F384"/>
          <cell r="G384"/>
          <cell r="H384"/>
          <cell r="I384"/>
          <cell r="J384"/>
          <cell r="K384"/>
        </row>
        <row r="385">
          <cell r="B385" t="str">
            <v>GGAL</v>
          </cell>
          <cell r="C385">
            <v>5940</v>
          </cell>
          <cell r="D385">
            <v>5750</v>
          </cell>
          <cell r="E385">
            <v>5900</v>
          </cell>
          <cell r="F385">
            <v>5805</v>
          </cell>
          <cell r="G385"/>
          <cell r="H385"/>
          <cell r="I385"/>
          <cell r="J385"/>
          <cell r="K385"/>
        </row>
        <row r="386">
          <cell r="B386" t="str">
            <v>TXAR</v>
          </cell>
          <cell r="C386">
            <v>702.5</v>
          </cell>
          <cell r="D386">
            <v>698.5</v>
          </cell>
          <cell r="E386">
            <v>723.5</v>
          </cell>
          <cell r="F386">
            <v>709</v>
          </cell>
          <cell r="G386"/>
          <cell r="H386"/>
          <cell r="I386"/>
          <cell r="J386"/>
          <cell r="K386"/>
        </row>
        <row r="387">
          <cell r="B387" t="str">
            <v>YPFD</v>
          </cell>
          <cell r="C387">
            <v>8330</v>
          </cell>
          <cell r="D387">
            <v>8460</v>
          </cell>
          <cell r="E387">
            <v>8270</v>
          </cell>
          <cell r="F387">
            <v>8430</v>
          </cell>
          <cell r="G387"/>
          <cell r="H387"/>
          <cell r="I387"/>
          <cell r="J387"/>
          <cell r="K387"/>
        </row>
        <row r="388">
          <cell r="B388" t="str">
            <v>PAMP</v>
          </cell>
          <cell r="C388">
            <v>5235</v>
          </cell>
          <cell r="D388">
            <v>5220</v>
          </cell>
          <cell r="E388">
            <v>5205</v>
          </cell>
          <cell r="F388">
            <v>5240</v>
          </cell>
          <cell r="G388"/>
          <cell r="H388"/>
          <cell r="I388"/>
          <cell r="J388"/>
          <cell r="K388"/>
        </row>
        <row r="389">
          <cell r="B389" t="str">
            <v>BBAR</v>
          </cell>
          <cell r="C389">
            <v>6965</v>
          </cell>
          <cell r="D389">
            <v>6760</v>
          </cell>
          <cell r="E389">
            <v>6980</v>
          </cell>
          <cell r="F389">
            <v>6950</v>
          </cell>
          <cell r="G389"/>
          <cell r="H389"/>
          <cell r="I389"/>
          <cell r="J389"/>
          <cell r="K389"/>
        </row>
        <row r="390">
          <cell r="B390" t="str">
            <v>ALUA</v>
          </cell>
          <cell r="C390">
            <v>849.5</v>
          </cell>
          <cell r="D390">
            <v>830</v>
          </cell>
          <cell r="E390">
            <v>845</v>
          </cell>
          <cell r="F390">
            <v>833</v>
          </cell>
          <cell r="G390"/>
          <cell r="H390"/>
          <cell r="I390"/>
          <cell r="J390"/>
          <cell r="K390"/>
        </row>
        <row r="391">
          <cell r="B391" t="str">
            <v>LOMA</v>
          </cell>
          <cell r="C391">
            <v>3222.5</v>
          </cell>
          <cell r="D391">
            <v>3215</v>
          </cell>
          <cell r="E391">
            <v>3257.5</v>
          </cell>
          <cell r="F391">
            <v>3257.5</v>
          </cell>
          <cell r="G391"/>
          <cell r="H391"/>
          <cell r="I391"/>
          <cell r="J391"/>
          <cell r="K391"/>
        </row>
        <row r="392">
          <cell r="B392" t="str">
            <v>CEPU</v>
          </cell>
          <cell r="C392">
            <v>2119</v>
          </cell>
          <cell r="D392">
            <v>2056</v>
          </cell>
          <cell r="E392">
            <v>2071</v>
          </cell>
          <cell r="F392">
            <v>2078</v>
          </cell>
          <cell r="G392"/>
          <cell r="H392"/>
          <cell r="I392"/>
          <cell r="J392"/>
          <cell r="K392"/>
        </row>
        <row r="393">
          <cell r="B393" t="str">
            <v>BYMA</v>
          </cell>
          <cell r="C393">
            <v>257.75</v>
          </cell>
          <cell r="D393">
            <v>256.75</v>
          </cell>
          <cell r="E393">
            <v>257.25</v>
          </cell>
          <cell r="F393">
            <v>252</v>
          </cell>
          <cell r="G393"/>
          <cell r="H393"/>
          <cell r="I393"/>
          <cell r="J393"/>
          <cell r="K393"/>
        </row>
        <row r="394">
          <cell r="B394" t="str">
            <v>SUPV</v>
          </cell>
          <cell r="C394">
            <v>2331</v>
          </cell>
          <cell r="D394">
            <v>2273</v>
          </cell>
          <cell r="E394">
            <v>2386</v>
          </cell>
          <cell r="F394">
            <v>2352</v>
          </cell>
          <cell r="G394"/>
          <cell r="H394"/>
          <cell r="I394"/>
          <cell r="J394"/>
          <cell r="K394"/>
        </row>
        <row r="395">
          <cell r="B395" t="str">
            <v>TGNO4</v>
          </cell>
          <cell r="C395">
            <v>3252.5</v>
          </cell>
          <cell r="D395">
            <v>3195</v>
          </cell>
          <cell r="E395">
            <v>3265</v>
          </cell>
          <cell r="F395">
            <v>3160</v>
          </cell>
          <cell r="G395"/>
          <cell r="H395"/>
          <cell r="I395"/>
          <cell r="J395"/>
          <cell r="K395"/>
        </row>
        <row r="396">
          <cell r="B396" t="str">
            <v>CRES</v>
          </cell>
          <cell r="C396">
            <v>1851</v>
          </cell>
          <cell r="D396">
            <v>1793</v>
          </cell>
          <cell r="E396">
            <v>1840</v>
          </cell>
          <cell r="F396">
            <v>1860</v>
          </cell>
          <cell r="G396"/>
          <cell r="H396"/>
          <cell r="I396"/>
          <cell r="J396"/>
          <cell r="K396"/>
        </row>
        <row r="397">
          <cell r="B397" t="str">
            <v>TECO2</v>
          </cell>
          <cell r="C397">
            <v>3977.5</v>
          </cell>
          <cell r="D397">
            <v>4017.5</v>
          </cell>
          <cell r="E397">
            <v>4052.5</v>
          </cell>
          <cell r="F397">
            <v>4042.5</v>
          </cell>
          <cell r="G397"/>
          <cell r="H397"/>
          <cell r="I397"/>
          <cell r="J397"/>
          <cell r="K397"/>
        </row>
        <row r="398">
          <cell r="B398" t="str">
            <v>VALO</v>
          </cell>
          <cell r="C398">
            <v>540.5</v>
          </cell>
          <cell r="D398">
            <v>529.5</v>
          </cell>
          <cell r="E398">
            <v>525</v>
          </cell>
          <cell r="F398">
            <v>529</v>
          </cell>
          <cell r="G398"/>
          <cell r="H398"/>
          <cell r="I398"/>
          <cell r="J398"/>
          <cell r="K398"/>
        </row>
        <row r="399">
          <cell r="B399" t="str">
            <v>TGSU2</v>
          </cell>
          <cell r="C399">
            <v>8415</v>
          </cell>
          <cell r="D399">
            <v>8395</v>
          </cell>
          <cell r="E399">
            <v>8370</v>
          </cell>
          <cell r="F399">
            <v>8445</v>
          </cell>
          <cell r="G399"/>
          <cell r="H399"/>
          <cell r="I399"/>
          <cell r="J399"/>
          <cell r="K399"/>
        </row>
        <row r="400">
          <cell r="B400" t="str">
            <v>AUSO</v>
          </cell>
          <cell r="C400">
            <v>2900</v>
          </cell>
          <cell r="D400">
            <v>2855</v>
          </cell>
          <cell r="E400">
            <v>2790</v>
          </cell>
          <cell r="F400">
            <v>2760</v>
          </cell>
          <cell r="G400"/>
          <cell r="H400"/>
          <cell r="I400"/>
          <cell r="J400"/>
          <cell r="K400"/>
        </row>
        <row r="401">
          <cell r="B401" t="str">
            <v>METR</v>
          </cell>
          <cell r="C401">
            <v>2358</v>
          </cell>
          <cell r="D401">
            <v>2335</v>
          </cell>
          <cell r="E401">
            <v>2351</v>
          </cell>
          <cell r="F401">
            <v>2345</v>
          </cell>
          <cell r="G401"/>
          <cell r="H401"/>
          <cell r="I401"/>
          <cell r="J401"/>
          <cell r="K401"/>
        </row>
        <row r="402">
          <cell r="B402" t="str">
            <v>ECOG</v>
          </cell>
          <cell r="C402">
            <v>2433</v>
          </cell>
          <cell r="D402">
            <v>2391</v>
          </cell>
          <cell r="E402">
            <v>2380</v>
          </cell>
          <cell r="F402">
            <v>2370</v>
          </cell>
          <cell r="G402"/>
          <cell r="H402"/>
          <cell r="I402"/>
          <cell r="J402"/>
          <cell r="K402"/>
        </row>
        <row r="403">
          <cell r="B403" t="str">
            <v>COME</v>
          </cell>
          <cell r="C403">
            <v>39.07</v>
          </cell>
          <cell r="D403">
            <v>38.43</v>
          </cell>
          <cell r="E403">
            <v>38.28</v>
          </cell>
          <cell r="F403">
            <v>37.700000000000003</v>
          </cell>
          <cell r="G403"/>
          <cell r="H403"/>
          <cell r="I403"/>
          <cell r="J403"/>
          <cell r="K403"/>
        </row>
        <row r="404">
          <cell r="B404" t="str">
            <v>MIRG</v>
          </cell>
          <cell r="C404">
            <v>1740</v>
          </cell>
          <cell r="D404">
            <v>1745</v>
          </cell>
          <cell r="E404">
            <v>1710</v>
          </cell>
          <cell r="F404">
            <v>1705</v>
          </cell>
          <cell r="G404"/>
          <cell r="H404"/>
          <cell r="I404"/>
          <cell r="J404"/>
          <cell r="K404"/>
        </row>
        <row r="405">
          <cell r="B405" t="str">
            <v>CVH</v>
          </cell>
          <cell r="C405">
            <v>9260</v>
          </cell>
          <cell r="D405">
            <v>9250</v>
          </cell>
          <cell r="E405">
            <v>9220</v>
          </cell>
          <cell r="F405">
            <v>9200</v>
          </cell>
          <cell r="G405"/>
          <cell r="H405"/>
          <cell r="I405"/>
          <cell r="J405"/>
          <cell r="K405"/>
        </row>
        <row r="406">
          <cell r="B406" t="str">
            <v>TRAN</v>
          </cell>
          <cell r="C406">
            <v>2705</v>
          </cell>
          <cell r="D406">
            <v>2682.5</v>
          </cell>
          <cell r="E406">
            <v>2700</v>
          </cell>
          <cell r="F406">
            <v>2560</v>
          </cell>
          <cell r="G406"/>
          <cell r="H406"/>
          <cell r="I406"/>
          <cell r="J406"/>
          <cell r="K406"/>
        </row>
        <row r="407">
          <cell r="B407" t="str">
            <v>HARG</v>
          </cell>
          <cell r="C407">
            <v>1330</v>
          </cell>
          <cell r="D407">
            <v>1340</v>
          </cell>
          <cell r="E407">
            <v>1320</v>
          </cell>
          <cell r="F407">
            <v>1300</v>
          </cell>
          <cell r="G407"/>
          <cell r="H407"/>
          <cell r="I407"/>
          <cell r="J407"/>
          <cell r="K407"/>
        </row>
        <row r="408">
          <cell r="B408" t="str">
            <v>EDN</v>
          </cell>
          <cell r="C408">
            <v>1653</v>
          </cell>
          <cell r="D408">
            <v>1660</v>
          </cell>
          <cell r="E408">
            <v>1672</v>
          </cell>
          <cell r="F408">
            <v>1660</v>
          </cell>
          <cell r="G408"/>
          <cell r="H408"/>
          <cell r="I408"/>
          <cell r="J408"/>
          <cell r="K408"/>
        </row>
        <row r="409">
          <cell r="B409" t="str">
            <v>MASU</v>
          </cell>
          <cell r="C409">
            <v>0.01</v>
          </cell>
          <cell r="D409">
            <v>0.01</v>
          </cell>
          <cell r="E409">
            <v>0.01</v>
          </cell>
          <cell r="F409">
            <v>0.01</v>
          </cell>
          <cell r="G409"/>
          <cell r="H409"/>
          <cell r="I409"/>
          <cell r="J409"/>
          <cell r="K409"/>
        </row>
        <row r="410">
          <cell r="B410" t="str">
            <v>INVJ</v>
          </cell>
          <cell r="C410">
            <v>389.5</v>
          </cell>
          <cell r="D410">
            <v>388</v>
          </cell>
          <cell r="E410">
            <v>385.5</v>
          </cell>
          <cell r="F410">
            <v>379</v>
          </cell>
          <cell r="G410"/>
          <cell r="H410"/>
          <cell r="I410"/>
          <cell r="J410"/>
          <cell r="K410"/>
        </row>
        <row r="411">
          <cell r="B411" t="str">
            <v>IRSA</v>
          </cell>
          <cell r="C411">
            <v>2290</v>
          </cell>
          <cell r="D411">
            <v>2225</v>
          </cell>
          <cell r="E411">
            <v>2270</v>
          </cell>
          <cell r="F411">
            <v>2285</v>
          </cell>
          <cell r="G411"/>
          <cell r="H411"/>
          <cell r="I411"/>
          <cell r="J411"/>
          <cell r="K411"/>
        </row>
        <row r="412">
          <cell r="B412" t="str">
            <v>DGCE</v>
          </cell>
          <cell r="C412">
            <v>1850</v>
          </cell>
          <cell r="D412">
            <v>1850</v>
          </cell>
          <cell r="E412">
            <v>1850</v>
          </cell>
          <cell r="F412">
            <v>1850</v>
          </cell>
          <cell r="G412"/>
          <cell r="H412"/>
          <cell r="I412"/>
          <cell r="J412"/>
          <cell r="K412"/>
        </row>
        <row r="413">
          <cell r="B413" t="str">
            <v>BHIP</v>
          </cell>
          <cell r="C413">
            <v>259</v>
          </cell>
          <cell r="D413">
            <v>251</v>
          </cell>
          <cell r="E413">
            <v>253.5</v>
          </cell>
          <cell r="F413">
            <v>246.5</v>
          </cell>
          <cell r="G413"/>
          <cell r="H413"/>
          <cell r="I413"/>
          <cell r="J413"/>
          <cell r="K413"/>
        </row>
        <row r="414"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</row>
        <row r="415">
          <cell r="B415" t="str">
            <v>Acciones en USD</v>
          </cell>
          <cell r="C415"/>
          <cell r="D415"/>
          <cell r="E415"/>
          <cell r="F415"/>
          <cell r="G415"/>
          <cell r="H415"/>
          <cell r="I415"/>
          <cell r="J415"/>
          <cell r="K415"/>
        </row>
        <row r="416">
          <cell r="B416"/>
          <cell r="C416"/>
          <cell r="D416"/>
          <cell r="E416"/>
          <cell r="F416"/>
          <cell r="G416"/>
          <cell r="H416"/>
          <cell r="I416"/>
          <cell r="J416"/>
          <cell r="K416"/>
        </row>
        <row r="417">
          <cell r="B417" t="str">
            <v>YPFDD</v>
          </cell>
          <cell r="C417">
            <v>5.43</v>
          </cell>
          <cell r="D417">
            <v>5.51</v>
          </cell>
          <cell r="E417">
            <v>5.38</v>
          </cell>
          <cell r="F417">
            <v>5.48</v>
          </cell>
          <cell r="G417"/>
          <cell r="H417"/>
          <cell r="I417"/>
          <cell r="J417"/>
          <cell r="K417"/>
        </row>
        <row r="418">
          <cell r="B418" t="str">
            <v>VALOD</v>
          </cell>
          <cell r="C418">
            <v>0.34899999999999998</v>
          </cell>
          <cell r="D418">
            <v>0.34599999999999997</v>
          </cell>
          <cell r="E418">
            <v>0.34300000000000003</v>
          </cell>
          <cell r="F418">
            <v>0.34499999999999997</v>
          </cell>
          <cell r="G418"/>
          <cell r="H418"/>
          <cell r="I418"/>
          <cell r="J418"/>
          <cell r="K418"/>
        </row>
        <row r="419">
          <cell r="B419" t="str">
            <v>LOMAD</v>
          </cell>
          <cell r="C419">
            <v>2.085</v>
          </cell>
          <cell r="D419">
            <v>2.085</v>
          </cell>
          <cell r="E419">
            <v>2.1349999999999998</v>
          </cell>
          <cell r="F419">
            <v>2.1150000000000002</v>
          </cell>
          <cell r="G419"/>
          <cell r="H419"/>
          <cell r="I419"/>
          <cell r="J419"/>
          <cell r="K419"/>
        </row>
        <row r="420">
          <cell r="B420" t="str">
            <v>PAMPD</v>
          </cell>
          <cell r="C420">
            <v>3.4</v>
          </cell>
          <cell r="D420">
            <v>3.39</v>
          </cell>
          <cell r="E420">
            <v>3.4</v>
          </cell>
          <cell r="F420">
            <v>3.4049999999999998</v>
          </cell>
          <cell r="G420"/>
          <cell r="H420"/>
          <cell r="I420"/>
          <cell r="J420"/>
          <cell r="K420"/>
        </row>
        <row r="421">
          <cell r="B421" t="str">
            <v>EDND</v>
          </cell>
          <cell r="C421">
            <v>1.085</v>
          </cell>
          <cell r="D421">
            <v>1.07</v>
          </cell>
          <cell r="E421">
            <v>1.0900000000000001</v>
          </cell>
          <cell r="F421">
            <v>1.07</v>
          </cell>
          <cell r="G421"/>
          <cell r="H421"/>
          <cell r="I421"/>
          <cell r="J421"/>
          <cell r="K421"/>
        </row>
        <row r="422">
          <cell r="B422" t="str">
            <v>BBARD</v>
          </cell>
          <cell r="C422">
            <v>4.5350000000000001</v>
          </cell>
          <cell r="D422">
            <v>4.4050000000000002</v>
          </cell>
          <cell r="E422">
            <v>4.5449999999999999</v>
          </cell>
          <cell r="F422">
            <v>4.49</v>
          </cell>
          <cell r="G422"/>
          <cell r="H422"/>
          <cell r="I422"/>
          <cell r="J422"/>
          <cell r="K422"/>
        </row>
        <row r="423">
          <cell r="B423" t="str">
            <v>GGALD</v>
          </cell>
          <cell r="C423">
            <v>3.87</v>
          </cell>
          <cell r="D423">
            <v>3.75</v>
          </cell>
          <cell r="E423">
            <v>3.84</v>
          </cell>
          <cell r="F423">
            <v>3.77</v>
          </cell>
          <cell r="G423"/>
          <cell r="H423"/>
          <cell r="I423"/>
          <cell r="J423"/>
          <cell r="K423"/>
        </row>
        <row r="424">
          <cell r="B424" t="str">
            <v>SUPVD</v>
          </cell>
          <cell r="C424">
            <v>1.5349999999999999</v>
          </cell>
          <cell r="D424">
            <v>1.4850000000000001</v>
          </cell>
          <cell r="E424">
            <v>1.55</v>
          </cell>
          <cell r="F424">
            <v>1.5349999999999999</v>
          </cell>
          <cell r="G424"/>
          <cell r="H424"/>
          <cell r="I424"/>
          <cell r="J424"/>
          <cell r="K424"/>
        </row>
        <row r="425"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</row>
        <row r="426">
          <cell r="B426" t="str">
            <v>Cedears en Pesos</v>
          </cell>
          <cell r="C426"/>
          <cell r="D426"/>
          <cell r="E426"/>
          <cell r="F426"/>
          <cell r="G426"/>
          <cell r="H426"/>
          <cell r="I426"/>
          <cell r="J426"/>
          <cell r="K426"/>
        </row>
        <row r="427">
          <cell r="B427"/>
          <cell r="C427"/>
          <cell r="D427"/>
          <cell r="E427"/>
          <cell r="F427"/>
          <cell r="G427"/>
          <cell r="H427"/>
          <cell r="I427"/>
          <cell r="J427"/>
          <cell r="K427"/>
        </row>
        <row r="428">
          <cell r="B428" t="str">
            <v>MELI</v>
          </cell>
          <cell r="C428">
            <v>25220</v>
          </cell>
          <cell r="D428">
            <v>24690</v>
          </cell>
          <cell r="E428">
            <v>24970</v>
          </cell>
          <cell r="F428">
            <v>24740</v>
          </cell>
          <cell r="G428"/>
          <cell r="H428"/>
          <cell r="I428"/>
          <cell r="J428"/>
          <cell r="K428"/>
        </row>
        <row r="429">
          <cell r="B429" t="str">
            <v>NU</v>
          </cell>
          <cell r="C429">
            <v>12550</v>
          </cell>
          <cell r="D429">
            <v>11990</v>
          </cell>
          <cell r="E429">
            <v>11970</v>
          </cell>
          <cell r="F429">
            <v>11820</v>
          </cell>
          <cell r="G429"/>
          <cell r="H429"/>
          <cell r="I429"/>
          <cell r="J429"/>
          <cell r="K429"/>
        </row>
        <row r="430">
          <cell r="B430" t="str">
            <v>VALE</v>
          </cell>
          <cell r="C430">
            <v>10800</v>
          </cell>
          <cell r="D430">
            <v>10710</v>
          </cell>
          <cell r="E430">
            <v>10540</v>
          </cell>
          <cell r="F430">
            <v>10590</v>
          </cell>
          <cell r="G430"/>
          <cell r="H430"/>
          <cell r="I430"/>
          <cell r="J430"/>
          <cell r="K430"/>
        </row>
        <row r="431">
          <cell r="B431" t="str">
            <v>BBDC3</v>
          </cell>
          <cell r="C431">
            <v>6100</v>
          </cell>
          <cell r="D431">
            <v>6100</v>
          </cell>
          <cell r="E431">
            <v>5995</v>
          </cell>
          <cell r="F431">
            <v>5795</v>
          </cell>
          <cell r="G431"/>
          <cell r="H431"/>
          <cell r="I431"/>
          <cell r="J431"/>
          <cell r="K431"/>
        </row>
        <row r="432">
          <cell r="B432" t="str">
            <v>VALE3</v>
          </cell>
          <cell r="C432">
            <v>21610</v>
          </cell>
          <cell r="D432">
            <v>21350</v>
          </cell>
          <cell r="E432">
            <v>21080</v>
          </cell>
          <cell r="F432">
            <v>21240</v>
          </cell>
          <cell r="G432"/>
          <cell r="H432"/>
          <cell r="I432"/>
          <cell r="J432"/>
          <cell r="K432"/>
        </row>
        <row r="433">
          <cell r="B433" t="str">
            <v>ITUB3</v>
          </cell>
          <cell r="C433">
            <v>17400</v>
          </cell>
          <cell r="D433">
            <v>17070</v>
          </cell>
          <cell r="E433">
            <v>18320</v>
          </cell>
          <cell r="F433">
            <v>16780</v>
          </cell>
          <cell r="G433"/>
          <cell r="H433"/>
          <cell r="I433"/>
          <cell r="J433"/>
          <cell r="K433"/>
        </row>
        <row r="434">
          <cell r="B434" t="str">
            <v>PETR3</v>
          </cell>
          <cell r="C434">
            <v>20480</v>
          </cell>
          <cell r="D434">
            <v>20890</v>
          </cell>
          <cell r="E434">
            <v>20780</v>
          </cell>
          <cell r="F434">
            <v>21240</v>
          </cell>
          <cell r="G434"/>
          <cell r="H434"/>
          <cell r="I434"/>
          <cell r="J434"/>
          <cell r="K434"/>
        </row>
        <row r="435">
          <cell r="B435" t="str">
            <v>SUZB3</v>
          </cell>
          <cell r="C435">
            <v>13950</v>
          </cell>
          <cell r="D435">
            <v>13830</v>
          </cell>
          <cell r="E435">
            <v>13590</v>
          </cell>
          <cell r="F435">
            <v>13590</v>
          </cell>
          <cell r="G435"/>
          <cell r="H435"/>
          <cell r="I435"/>
          <cell r="J435"/>
          <cell r="K435"/>
        </row>
        <row r="436">
          <cell r="B436" t="str">
            <v>SBSP3</v>
          </cell>
          <cell r="C436">
            <v>10520</v>
          </cell>
          <cell r="D436">
            <v>10540</v>
          </cell>
          <cell r="E436">
            <v>10280</v>
          </cell>
          <cell r="F436">
            <v>10140</v>
          </cell>
          <cell r="G436"/>
          <cell r="H436"/>
          <cell r="I436"/>
          <cell r="J436"/>
          <cell r="K436"/>
        </row>
        <row r="437">
          <cell r="B437" t="str">
            <v>ABEV3</v>
          </cell>
          <cell r="C437">
            <v>5175</v>
          </cell>
          <cell r="D437">
            <v>5320</v>
          </cell>
          <cell r="E437">
            <v>5290</v>
          </cell>
          <cell r="F437">
            <v>5390</v>
          </cell>
          <cell r="G437"/>
          <cell r="H437"/>
          <cell r="I437"/>
          <cell r="J437"/>
          <cell r="K437"/>
        </row>
        <row r="438">
          <cell r="B438" t="str">
            <v>MSFT</v>
          </cell>
          <cell r="C438">
            <v>29200</v>
          </cell>
          <cell r="D438">
            <v>28700</v>
          </cell>
          <cell r="E438">
            <v>29060</v>
          </cell>
          <cell r="F438">
            <v>28520</v>
          </cell>
          <cell r="G438"/>
          <cell r="H438"/>
          <cell r="I438"/>
          <cell r="J438"/>
          <cell r="K438"/>
        </row>
        <row r="439">
          <cell r="B439" t="str">
            <v>META</v>
          </cell>
          <cell r="C439">
            <v>51250</v>
          </cell>
          <cell r="D439">
            <v>49680</v>
          </cell>
          <cell r="E439">
            <v>49640</v>
          </cell>
          <cell r="F439">
            <v>47680</v>
          </cell>
          <cell r="G439"/>
          <cell r="H439"/>
          <cell r="I439"/>
          <cell r="J439"/>
          <cell r="K439"/>
        </row>
        <row r="440">
          <cell r="B440" t="str">
            <v>ITUB</v>
          </cell>
          <cell r="C440">
            <v>15980</v>
          </cell>
          <cell r="D440">
            <v>15640</v>
          </cell>
          <cell r="E440">
            <v>15370</v>
          </cell>
          <cell r="F440">
            <v>15310</v>
          </cell>
          <cell r="G440"/>
          <cell r="H440"/>
          <cell r="I440"/>
          <cell r="J440"/>
          <cell r="K440"/>
        </row>
        <row r="441">
          <cell r="B441" t="str">
            <v>PBR</v>
          </cell>
          <cell r="C441">
            <v>40980</v>
          </cell>
          <cell r="D441">
            <v>41800</v>
          </cell>
          <cell r="E441">
            <v>40840</v>
          </cell>
          <cell r="F441">
            <v>42160</v>
          </cell>
          <cell r="G441"/>
          <cell r="H441"/>
          <cell r="I441"/>
          <cell r="J441"/>
          <cell r="K441"/>
        </row>
        <row r="442">
          <cell r="B442" t="str">
            <v>VIST</v>
          </cell>
          <cell r="C442">
            <v>37120</v>
          </cell>
          <cell r="D442">
            <v>37700</v>
          </cell>
          <cell r="E442">
            <v>37760</v>
          </cell>
          <cell r="F442">
            <v>38900</v>
          </cell>
          <cell r="G442"/>
          <cell r="H442"/>
          <cell r="I442"/>
          <cell r="J442"/>
          <cell r="K442"/>
        </row>
        <row r="443">
          <cell r="B443" t="str">
            <v>PAGS</v>
          </cell>
          <cell r="C443"/>
          <cell r="D443"/>
          <cell r="E443">
            <v>5975</v>
          </cell>
          <cell r="F443">
            <v>5910</v>
          </cell>
          <cell r="G443"/>
          <cell r="H443"/>
          <cell r="I443"/>
          <cell r="J443"/>
          <cell r="K443"/>
        </row>
        <row r="444">
          <cell r="B444" t="str">
            <v>BBD</v>
          </cell>
          <cell r="C444"/>
          <cell r="D444"/>
          <cell r="E444">
            <v>6490</v>
          </cell>
          <cell r="F444">
            <v>6440</v>
          </cell>
          <cell r="G444"/>
          <cell r="H444"/>
          <cell r="I444"/>
          <cell r="J444"/>
          <cell r="K444"/>
        </row>
        <row r="445">
          <cell r="B445" t="str">
            <v>SID</v>
          </cell>
          <cell r="C445"/>
          <cell r="D445"/>
          <cell r="E445">
            <v>14930</v>
          </cell>
          <cell r="F445">
            <v>14440</v>
          </cell>
          <cell r="G445"/>
          <cell r="H445"/>
          <cell r="I445"/>
          <cell r="J445"/>
          <cell r="K445"/>
        </row>
        <row r="446">
          <cell r="B446" t="str">
            <v>SMH</v>
          </cell>
          <cell r="C446">
            <v>18930</v>
          </cell>
          <cell r="D446">
            <v>18320</v>
          </cell>
          <cell r="E446">
            <v>18080</v>
          </cell>
          <cell r="F446">
            <v>17510</v>
          </cell>
          <cell r="G446"/>
          <cell r="H446"/>
          <cell r="I446"/>
          <cell r="J446"/>
          <cell r="K446"/>
        </row>
        <row r="447">
          <cell r="B447" t="str">
            <v>GOOGL</v>
          </cell>
          <cell r="C447">
            <v>9870</v>
          </cell>
          <cell r="D447">
            <v>9715</v>
          </cell>
          <cell r="E447">
            <v>9755</v>
          </cell>
          <cell r="F447">
            <v>9530</v>
          </cell>
          <cell r="G447"/>
          <cell r="H447"/>
          <cell r="I447"/>
          <cell r="J447"/>
          <cell r="K447"/>
        </row>
        <row r="448"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</row>
        <row r="449">
          <cell r="B449" t="str">
            <v>Cedears en USD</v>
          </cell>
          <cell r="C449"/>
          <cell r="D449"/>
          <cell r="E449"/>
          <cell r="F449"/>
          <cell r="G449"/>
          <cell r="H449"/>
          <cell r="I449"/>
          <cell r="J449"/>
          <cell r="K449"/>
        </row>
        <row r="450">
          <cell r="B450"/>
          <cell r="C450"/>
          <cell r="D450"/>
          <cell r="E450"/>
          <cell r="F450"/>
          <cell r="G450"/>
          <cell r="H450"/>
          <cell r="I450"/>
          <cell r="J450"/>
          <cell r="K450"/>
        </row>
        <row r="451">
          <cell r="B451" t="str">
            <v>VALED</v>
          </cell>
          <cell r="C451">
            <v>7.04</v>
          </cell>
          <cell r="D451">
            <v>6.95</v>
          </cell>
          <cell r="E451">
            <v>6.87</v>
          </cell>
          <cell r="F451">
            <v>6.86</v>
          </cell>
          <cell r="G451"/>
          <cell r="H451"/>
          <cell r="I451"/>
          <cell r="J451"/>
          <cell r="K451"/>
        </row>
        <row r="452">
          <cell r="B452" t="str">
            <v>PBRD</v>
          </cell>
          <cell r="C452">
            <v>26.69</v>
          </cell>
          <cell r="D452">
            <v>27.27</v>
          </cell>
          <cell r="E452">
            <v>26.61</v>
          </cell>
          <cell r="F452">
            <v>27.52</v>
          </cell>
          <cell r="G452"/>
          <cell r="H452"/>
          <cell r="I452"/>
          <cell r="J452"/>
          <cell r="K452"/>
        </row>
        <row r="453">
          <cell r="B453" t="str">
            <v>PAGSD</v>
          </cell>
          <cell r="C453">
            <v>3.855</v>
          </cell>
          <cell r="D453">
            <v>3.7749999999999999</v>
          </cell>
          <cell r="E453">
            <v>3.88</v>
          </cell>
          <cell r="F453">
            <v>3.8849999999999998</v>
          </cell>
          <cell r="G453"/>
          <cell r="H453"/>
          <cell r="I453"/>
          <cell r="J453"/>
          <cell r="K453"/>
        </row>
        <row r="454">
          <cell r="B454" t="str">
            <v>VISTD</v>
          </cell>
          <cell r="C454">
            <v>24.21</v>
          </cell>
          <cell r="D454">
            <v>24.48</v>
          </cell>
          <cell r="E454">
            <v>24.63</v>
          </cell>
          <cell r="F454">
            <v>25.39</v>
          </cell>
          <cell r="G454"/>
          <cell r="H454"/>
          <cell r="I454"/>
          <cell r="J454"/>
          <cell r="K454"/>
        </row>
        <row r="455">
          <cell r="B455" t="str">
            <v>BBDD</v>
          </cell>
          <cell r="C455">
            <v>4.3899999999999997</v>
          </cell>
          <cell r="D455">
            <v>4.33</v>
          </cell>
          <cell r="E455">
            <v>4.2300000000000004</v>
          </cell>
          <cell r="F455">
            <v>4.1900000000000004</v>
          </cell>
          <cell r="G455"/>
          <cell r="H455"/>
          <cell r="I455"/>
          <cell r="J455"/>
          <cell r="K455"/>
        </row>
        <row r="456">
          <cell r="B456" t="str">
            <v>SIDD</v>
          </cell>
          <cell r="C456">
            <v>10.6</v>
          </cell>
          <cell r="D456">
            <v>9.99</v>
          </cell>
          <cell r="E456">
            <v>9.7799999999999994</v>
          </cell>
          <cell r="F456">
            <v>9.4600000000000009</v>
          </cell>
          <cell r="G456"/>
          <cell r="H456"/>
          <cell r="I456"/>
          <cell r="J456"/>
          <cell r="K456"/>
        </row>
        <row r="457">
          <cell r="B457"/>
          <cell r="C457"/>
          <cell r="D457"/>
          <cell r="E457"/>
          <cell r="F457"/>
          <cell r="G457"/>
          <cell r="H457"/>
          <cell r="I457"/>
          <cell r="J457"/>
          <cell r="K457"/>
        </row>
        <row r="458">
          <cell r="B458" t="str">
            <v>ADR</v>
          </cell>
          <cell r="C458"/>
          <cell r="D458"/>
          <cell r="E458"/>
          <cell r="F458"/>
          <cell r="G458"/>
          <cell r="H458"/>
          <cell r="I458"/>
          <cell r="J458"/>
          <cell r="K458"/>
        </row>
        <row r="459"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</row>
        <row r="460">
          <cell r="B460" t="str">
            <v>BBD US</v>
          </cell>
          <cell r="C460">
            <v>4.1900000000000004</v>
          </cell>
          <cell r="D460">
            <v>4.1399999999999997</v>
          </cell>
          <cell r="E460">
            <v>4.03</v>
          </cell>
          <cell r="F460">
            <v>3.96</v>
          </cell>
          <cell r="G460"/>
          <cell r="H460"/>
          <cell r="I460"/>
          <cell r="J460"/>
          <cell r="K460"/>
        </row>
        <row r="461">
          <cell r="B461" t="str">
            <v>PAGS US</v>
          </cell>
          <cell r="C461">
            <v>10.99</v>
          </cell>
          <cell r="D461">
            <v>10.83</v>
          </cell>
          <cell r="E461">
            <v>11.12</v>
          </cell>
          <cell r="F461">
            <v>11</v>
          </cell>
          <cell r="G461"/>
          <cell r="H461"/>
          <cell r="I461"/>
          <cell r="J461"/>
          <cell r="K461"/>
        </row>
        <row r="462">
          <cell r="B462" t="str">
            <v>NIO US</v>
          </cell>
          <cell r="C462">
            <v>3.56</v>
          </cell>
          <cell r="D462">
            <v>3.41</v>
          </cell>
          <cell r="E462">
            <v>3.5</v>
          </cell>
          <cell r="F462">
            <v>3.43</v>
          </cell>
          <cell r="G462"/>
          <cell r="H462"/>
          <cell r="I462"/>
          <cell r="J462"/>
          <cell r="K462"/>
        </row>
        <row r="463">
          <cell r="B463" t="str">
            <v>JD US</v>
          </cell>
          <cell r="C463">
            <v>26.78</v>
          </cell>
          <cell r="D463">
            <v>26.68</v>
          </cell>
          <cell r="E463">
            <v>27.39</v>
          </cell>
          <cell r="F463">
            <v>27.01</v>
          </cell>
          <cell r="G463"/>
          <cell r="H463"/>
          <cell r="I463"/>
          <cell r="J463"/>
          <cell r="K463"/>
        </row>
        <row r="464">
          <cell r="B464" t="str">
            <v>BDORY US</v>
          </cell>
          <cell r="C464">
            <v>4.92</v>
          </cell>
          <cell r="D464">
            <v>4.75</v>
          </cell>
          <cell r="E464">
            <v>4.6500000000000004</v>
          </cell>
          <cell r="F464">
            <v>4.68</v>
          </cell>
          <cell r="G464"/>
          <cell r="H464"/>
          <cell r="I464"/>
          <cell r="J464"/>
          <cell r="K464"/>
        </row>
        <row r="465">
          <cell r="B465" t="str">
            <v>GGAL US</v>
          </cell>
          <cell r="C465">
            <v>36.79</v>
          </cell>
          <cell r="D465">
            <v>35.549999999999997</v>
          </cell>
          <cell r="E465">
            <v>36.47</v>
          </cell>
          <cell r="F465">
            <v>36.020000000000003</v>
          </cell>
          <cell r="G465"/>
          <cell r="H465"/>
          <cell r="I465"/>
          <cell r="J465"/>
          <cell r="K465"/>
        </row>
        <row r="466">
          <cell r="B466" t="str">
            <v>VALE US</v>
          </cell>
          <cell r="C466">
            <v>13.37</v>
          </cell>
          <cell r="D466">
            <v>13.21</v>
          </cell>
          <cell r="E466">
            <v>13.02</v>
          </cell>
          <cell r="F466">
            <v>13.06</v>
          </cell>
          <cell r="G466"/>
          <cell r="H466"/>
          <cell r="I466"/>
          <cell r="J466"/>
          <cell r="K466"/>
        </row>
        <row r="467">
          <cell r="B467" t="str">
            <v>PBR US</v>
          </cell>
          <cell r="C467">
            <v>25.5</v>
          </cell>
          <cell r="D467">
            <v>25.94</v>
          </cell>
          <cell r="E467">
            <v>25.3</v>
          </cell>
          <cell r="F467">
            <v>26</v>
          </cell>
          <cell r="G467"/>
          <cell r="H467"/>
          <cell r="I467"/>
          <cell r="J467"/>
          <cell r="K467"/>
        </row>
        <row r="468">
          <cell r="B468" t="str">
            <v>VIST US</v>
          </cell>
          <cell r="C468">
            <v>69.02</v>
          </cell>
          <cell r="D468">
            <v>69.94</v>
          </cell>
          <cell r="E468">
            <v>69.989999999999995</v>
          </cell>
          <cell r="F468">
            <v>71.95</v>
          </cell>
          <cell r="G468"/>
          <cell r="H468"/>
          <cell r="I468"/>
          <cell r="J468"/>
          <cell r="K468"/>
        </row>
        <row r="469">
          <cell r="B469" t="str">
            <v>AMD US</v>
          </cell>
          <cell r="C469">
            <v>605.53</v>
          </cell>
          <cell r="D469">
            <v>570.82000000000005</v>
          </cell>
          <cell r="E469">
            <v>562.23</v>
          </cell>
          <cell r="F469">
            <v>528.75</v>
          </cell>
          <cell r="G469"/>
          <cell r="H469"/>
          <cell r="I469"/>
          <cell r="J469"/>
          <cell r="K469"/>
        </row>
        <row r="470">
          <cell r="B470" t="str">
            <v>SID US</v>
          </cell>
          <cell r="C470">
            <v>1.24</v>
          </cell>
          <cell r="D470">
            <v>1.21</v>
          </cell>
          <cell r="E470">
            <v>1.1499999999999999</v>
          </cell>
          <cell r="F470">
            <v>1.1100000000000001</v>
          </cell>
          <cell r="G470"/>
          <cell r="H470"/>
          <cell r="I470"/>
          <cell r="J470"/>
          <cell r="K470"/>
        </row>
        <row r="471">
          <cell r="B471" t="str">
            <v>MSFT US</v>
          </cell>
          <cell r="C471">
            <v>543.45000000000005</v>
          </cell>
          <cell r="D471">
            <v>533.69000000000005</v>
          </cell>
          <cell r="E471">
            <v>539.44000000000005</v>
          </cell>
          <cell r="F471">
            <v>529.04999999999995</v>
          </cell>
          <cell r="G471"/>
          <cell r="H471"/>
          <cell r="I471"/>
          <cell r="J471"/>
          <cell r="K471"/>
        </row>
        <row r="472">
          <cell r="B472" t="str">
            <v>NU US</v>
          </cell>
          <cell r="C472">
            <v>15.58</v>
          </cell>
          <cell r="D472">
            <v>14.93</v>
          </cell>
          <cell r="E472">
            <v>14.73</v>
          </cell>
          <cell r="F472">
            <v>14.56</v>
          </cell>
          <cell r="G472"/>
          <cell r="H472"/>
          <cell r="I472"/>
          <cell r="J472"/>
          <cell r="K472"/>
        </row>
        <row r="473">
          <cell r="B473" t="str">
            <v>YPF US</v>
          </cell>
          <cell r="C473">
            <v>51.79</v>
          </cell>
          <cell r="D473">
            <v>52.25</v>
          </cell>
          <cell r="E473">
            <v>51.11</v>
          </cell>
          <cell r="F473">
            <v>52.1</v>
          </cell>
          <cell r="G473"/>
          <cell r="H473"/>
          <cell r="I473"/>
          <cell r="J473"/>
          <cell r="K473"/>
        </row>
        <row r="474">
          <cell r="B474" t="str">
            <v>TSLA US</v>
          </cell>
          <cell r="C474"/>
          <cell r="D474"/>
          <cell r="E474">
            <v>362.44</v>
          </cell>
          <cell r="F474">
            <v>354.72</v>
          </cell>
          <cell r="G474"/>
          <cell r="H474"/>
          <cell r="I474"/>
          <cell r="J474"/>
          <cell r="K474"/>
        </row>
        <row r="475">
          <cell r="B475"/>
          <cell r="C475"/>
          <cell r="D475"/>
          <cell r="E475"/>
          <cell r="F475"/>
          <cell r="G475"/>
          <cell r="H475"/>
          <cell r="I475"/>
          <cell r="J475"/>
          <cell r="K475"/>
        </row>
        <row r="476">
          <cell r="B476" t="str">
            <v>ETF</v>
          </cell>
          <cell r="C476"/>
          <cell r="D476"/>
          <cell r="E476"/>
          <cell r="F476"/>
          <cell r="G476"/>
          <cell r="H476"/>
          <cell r="I476"/>
          <cell r="J476"/>
          <cell r="K476"/>
        </row>
        <row r="477">
          <cell r="B477"/>
          <cell r="C477"/>
          <cell r="D477"/>
          <cell r="E477"/>
          <cell r="F477"/>
          <cell r="G477"/>
          <cell r="H477"/>
          <cell r="I477"/>
          <cell r="J477"/>
          <cell r="K477"/>
        </row>
        <row r="478">
          <cell r="B478" t="str">
            <v>EWZ US</v>
          </cell>
          <cell r="C478">
            <v>42.87</v>
          </cell>
          <cell r="D478">
            <v>42.6</v>
          </cell>
          <cell r="E478">
            <v>41.58</v>
          </cell>
          <cell r="F478">
            <v>41.83</v>
          </cell>
          <cell r="G478"/>
          <cell r="H478"/>
          <cell r="I478"/>
          <cell r="J478"/>
          <cell r="K478"/>
        </row>
        <row r="479">
          <cell r="B479" t="str">
            <v>FLRN US</v>
          </cell>
          <cell r="C479">
            <v>30.77</v>
          </cell>
          <cell r="D479">
            <v>30.77</v>
          </cell>
          <cell r="E479">
            <v>30.78</v>
          </cell>
          <cell r="F479">
            <v>30.79</v>
          </cell>
          <cell r="G479"/>
          <cell r="H479"/>
          <cell r="I479"/>
          <cell r="J479"/>
          <cell r="K479"/>
        </row>
        <row r="480">
          <cell r="B480" t="str">
            <v>SDIA LN</v>
          </cell>
          <cell r="C480">
            <v>6.3550000000000004</v>
          </cell>
          <cell r="D480">
            <v>6.3570000000000002</v>
          </cell>
          <cell r="E480">
            <v>6.3609999999999998</v>
          </cell>
          <cell r="F480">
            <v>6.3780000000000001</v>
          </cell>
          <cell r="G480"/>
          <cell r="H480"/>
          <cell r="I480"/>
          <cell r="J480"/>
          <cell r="K480"/>
        </row>
        <row r="481">
          <cell r="B481" t="str">
            <v>EMCA LN</v>
          </cell>
          <cell r="C481">
            <v>6.6779999999999999</v>
          </cell>
          <cell r="D481">
            <v>6.6630000000000003</v>
          </cell>
          <cell r="E481">
            <v>6.6929999999999996</v>
          </cell>
          <cell r="F481">
            <v>6.7039999999999997</v>
          </cell>
          <cell r="G481"/>
          <cell r="H481"/>
          <cell r="I481"/>
          <cell r="J481"/>
          <cell r="K481"/>
        </row>
        <row r="482">
          <cell r="B482" t="str">
            <v>IGV US</v>
          </cell>
          <cell r="C482">
            <v>110.98</v>
          </cell>
          <cell r="D482">
            <v>107.65</v>
          </cell>
          <cell r="E482">
            <v>109.6</v>
          </cell>
          <cell r="F482">
            <v>104.34</v>
          </cell>
          <cell r="G482"/>
          <cell r="H482"/>
          <cell r="I482"/>
          <cell r="J482"/>
          <cell r="K482"/>
        </row>
        <row r="483"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</row>
        <row r="484">
          <cell r="B484" t="str">
            <v>Funds</v>
          </cell>
          <cell r="C484"/>
          <cell r="D484"/>
          <cell r="E484"/>
          <cell r="F484"/>
          <cell r="G484"/>
          <cell r="H484"/>
          <cell r="I484"/>
          <cell r="J484"/>
          <cell r="K484"/>
        </row>
        <row r="485"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</row>
        <row r="486">
          <cell r="B486" t="str">
            <v>MUHYIU1 LX</v>
          </cell>
          <cell r="C486">
            <v>294.52999999999997</v>
          </cell>
          <cell r="D486">
            <v>294.11</v>
          </cell>
          <cell r="E486">
            <v>293.43</v>
          </cell>
          <cell r="F486">
            <v>294.02</v>
          </cell>
          <cell r="G486"/>
          <cell r="H486"/>
          <cell r="I486"/>
          <cell r="J486"/>
          <cell r="K486"/>
        </row>
        <row r="487">
          <cell r="B487" t="str">
            <v>MGCIF1U LX</v>
          </cell>
          <cell r="C487">
            <v>151.53</v>
          </cell>
          <cell r="D487">
            <v>151.86000000000001</v>
          </cell>
          <cell r="E487">
            <v>151.75</v>
          </cell>
          <cell r="F487">
            <v>152.63</v>
          </cell>
          <cell r="G487"/>
          <cell r="H487"/>
          <cell r="I487"/>
          <cell r="J487"/>
          <cell r="K487"/>
        </row>
        <row r="488"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</row>
        <row r="489">
          <cell r="B489" t="str">
            <v>Latam</v>
          </cell>
          <cell r="C489"/>
          <cell r="D489"/>
          <cell r="E489"/>
          <cell r="F489"/>
          <cell r="G489"/>
          <cell r="H489"/>
          <cell r="I489"/>
          <cell r="J489"/>
          <cell r="K489"/>
        </row>
        <row r="490"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</row>
        <row r="491">
          <cell r="B491" t="str">
            <v>CH27</v>
          </cell>
          <cell r="C491">
            <v>1.0004427777777778</v>
          </cell>
          <cell r="D491">
            <v>1.0001991666666668</v>
          </cell>
          <cell r="E491">
            <v>1.0006355555555555</v>
          </cell>
          <cell r="F491">
            <v>1.0006147222222221</v>
          </cell>
          <cell r="G491"/>
          <cell r="H491"/>
          <cell r="I491"/>
          <cell r="J491"/>
          <cell r="K491"/>
        </row>
        <row r="492">
          <cell r="B492" t="str">
            <v>CH28</v>
          </cell>
          <cell r="C492">
            <v>0.98290499999999992</v>
          </cell>
          <cell r="D492">
            <v>0.98251499999999992</v>
          </cell>
          <cell r="E492">
            <v>0.9835299999999999</v>
          </cell>
          <cell r="F492">
            <v>0.98336000000000001</v>
          </cell>
          <cell r="G492"/>
          <cell r="H492"/>
          <cell r="I492"/>
          <cell r="J492"/>
          <cell r="K492"/>
        </row>
        <row r="493">
          <cell r="B493" t="str">
            <v>BR27</v>
          </cell>
          <cell r="C493">
            <v>1.0717412499999999</v>
          </cell>
          <cell r="D493">
            <v>1.0714174999999999</v>
          </cell>
          <cell r="E493">
            <v>1.0725087500000001</v>
          </cell>
          <cell r="F493">
            <v>1.0726475</v>
          </cell>
          <cell r="G493"/>
          <cell r="H493"/>
          <cell r="I493"/>
          <cell r="J493"/>
          <cell r="K493"/>
        </row>
        <row r="494">
          <cell r="B494" t="str">
            <v>BR28</v>
          </cell>
          <cell r="C494">
            <v>1.0082509722222222</v>
          </cell>
          <cell r="D494">
            <v>1.0080344444444445</v>
          </cell>
          <cell r="E494">
            <v>1.0086929166666665</v>
          </cell>
          <cell r="F494">
            <v>1.0087533333333334</v>
          </cell>
          <cell r="G494"/>
          <cell r="H494"/>
          <cell r="I494"/>
          <cell r="J494"/>
          <cell r="K494"/>
        </row>
        <row r="495">
          <cell r="B495" t="str">
            <v>CDEL27</v>
          </cell>
          <cell r="C495">
            <v>0.99528069444444456</v>
          </cell>
          <cell r="D495">
            <v>0.9948663888888889</v>
          </cell>
          <cell r="E495">
            <v>0.9956320833333332</v>
          </cell>
          <cell r="F495">
            <v>0.99597916666666664</v>
          </cell>
          <cell r="G495"/>
          <cell r="H495"/>
          <cell r="I495"/>
          <cell r="J495"/>
          <cell r="K495"/>
        </row>
        <row r="496">
          <cell r="B496"/>
          <cell r="C496"/>
          <cell r="D496"/>
          <cell r="E496"/>
          <cell r="F496"/>
          <cell r="G496"/>
          <cell r="H496"/>
          <cell r="I496"/>
          <cell r="J496"/>
          <cell r="K496"/>
        </row>
        <row r="497">
          <cell r="B497" t="str">
            <v>Futuros</v>
          </cell>
          <cell r="C497"/>
          <cell r="D497"/>
          <cell r="E497"/>
          <cell r="F497"/>
          <cell r="G497"/>
          <cell r="H497"/>
          <cell r="I497"/>
          <cell r="J497"/>
          <cell r="K497"/>
        </row>
        <row r="498"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</row>
        <row r="499">
          <cell r="B499" t="str">
            <v>FUTDLR102026</v>
          </cell>
          <cell r="C499">
            <v>1526</v>
          </cell>
          <cell r="D499">
            <v>1527</v>
          </cell>
          <cell r="E499">
            <v>1526</v>
          </cell>
          <cell r="F499">
            <v>1531</v>
          </cell>
          <cell r="G499"/>
          <cell r="H499"/>
          <cell r="I499"/>
          <cell r="J499"/>
          <cell r="K499"/>
        </row>
        <row r="500">
          <cell r="B500"/>
          <cell r="C500"/>
          <cell r="D500"/>
          <cell r="E500"/>
          <cell r="F500"/>
          <cell r="G500"/>
          <cell r="H500"/>
          <cell r="I500"/>
          <cell r="J500"/>
          <cell r="K500"/>
        </row>
        <row r="501">
          <cell r="B501" t="str">
            <v>Futuros Soja</v>
          </cell>
          <cell r="C501"/>
          <cell r="D501"/>
          <cell r="E501"/>
          <cell r="F501"/>
          <cell r="G501"/>
          <cell r="H501"/>
          <cell r="I501"/>
          <cell r="J501"/>
          <cell r="K501"/>
        </row>
        <row r="502">
          <cell r="B502"/>
          <cell r="C502"/>
          <cell r="D502"/>
          <cell r="E502"/>
          <cell r="F502"/>
          <cell r="G502"/>
          <cell r="H502"/>
          <cell r="I502"/>
          <cell r="J502"/>
          <cell r="K502"/>
        </row>
        <row r="503">
          <cell r="B503" t="str">
            <v>FUTDLRMM1126</v>
          </cell>
          <cell r="C503">
            <v>565262.06846999994</v>
          </cell>
          <cell r="D503">
            <v>563115.45290000003</v>
          </cell>
          <cell r="E503">
            <v>561365.54064000002</v>
          </cell>
          <cell r="F503">
            <v>560389.23499999999</v>
          </cell>
          <cell r="G503"/>
          <cell r="H503"/>
          <cell r="I503"/>
          <cell r="J503"/>
          <cell r="K503"/>
        </row>
        <row r="504">
          <cell r="B504" t="str">
            <v>FUTDLRMM0527</v>
          </cell>
          <cell r="C504">
            <v>543888.52283999999</v>
          </cell>
          <cell r="D504">
            <v>542365.90555000002</v>
          </cell>
          <cell r="E504">
            <v>539716.33020000008</v>
          </cell>
          <cell r="F504">
            <v>537670.75249999994</v>
          </cell>
          <cell r="G504"/>
          <cell r="H504"/>
          <cell r="I504"/>
          <cell r="J504"/>
          <cell r="K504"/>
        </row>
        <row r="505">
          <cell r="B505" t="str">
            <v>FUTARSSRO1126</v>
          </cell>
          <cell r="C505">
            <v>565262.06846999994</v>
          </cell>
          <cell r="D505">
            <v>563115.45290000003</v>
          </cell>
          <cell r="E505">
            <v>561365.54064000002</v>
          </cell>
          <cell r="F505">
            <v>560389.23499999999</v>
          </cell>
          <cell r="G505"/>
          <cell r="H505"/>
          <cell r="I505"/>
          <cell r="J505"/>
          <cell r="K505"/>
        </row>
        <row r="506">
          <cell r="B506" t="str">
            <v>FUTARSSRO0127</v>
          </cell>
          <cell r="C506">
            <v>572992.92539999995</v>
          </cell>
          <cell r="D506">
            <v>570991.19349999994</v>
          </cell>
          <cell r="E506">
            <v>568783.80156000005</v>
          </cell>
          <cell r="F506">
            <v>567962.0625</v>
          </cell>
          <cell r="G506"/>
          <cell r="H506"/>
          <cell r="I506"/>
          <cell r="J506"/>
          <cell r="K506"/>
        </row>
        <row r="507">
          <cell r="B507" t="str">
            <v>FUTARSSRO0527</v>
          </cell>
          <cell r="C507">
            <v>543888.52283999999</v>
          </cell>
          <cell r="D507">
            <v>542365.90555000002</v>
          </cell>
          <cell r="E507">
            <v>539716.33020000008</v>
          </cell>
          <cell r="F507">
            <v>537670.75249999994</v>
          </cell>
          <cell r="G507"/>
          <cell r="H507"/>
          <cell r="I507"/>
          <cell r="J507"/>
          <cell r="K507"/>
        </row>
        <row r="508"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</row>
        <row r="509">
          <cell r="B509" t="str">
            <v>Treasury</v>
          </cell>
          <cell r="C509"/>
          <cell r="D509"/>
          <cell r="E509"/>
          <cell r="F509"/>
          <cell r="G509"/>
          <cell r="H509"/>
          <cell r="I509"/>
          <cell r="J509"/>
          <cell r="K509"/>
        </row>
        <row r="510"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</row>
        <row r="511">
          <cell r="B511" t="str">
            <v>US27102026</v>
          </cell>
          <cell r="C511">
            <v>0.99864495917499729</v>
          </cell>
          <cell r="D511">
            <v>0.99874719341093465</v>
          </cell>
          <cell r="E511">
            <v>0.99885496193024415</v>
          </cell>
          <cell r="F511">
            <v>0.99896455271444251</v>
          </cell>
          <cell r="G511"/>
          <cell r="H511"/>
          <cell r="I511"/>
          <cell r="J511"/>
          <cell r="K511"/>
        </row>
        <row r="512">
          <cell r="B512" t="str">
            <v>US03112026</v>
          </cell>
          <cell r="C512">
            <v>0.99787417260511158</v>
          </cell>
          <cell r="D512">
            <v>0.99799025542628228</v>
          </cell>
          <cell r="E512">
            <v>0.99810138147239569</v>
          </cell>
          <cell r="F512">
            <v>0.99820133417894741</v>
          </cell>
          <cell r="G512"/>
          <cell r="H512"/>
          <cell r="I512"/>
          <cell r="J512"/>
          <cell r="K512"/>
        </row>
        <row r="513">
          <cell r="B513" t="str">
            <v>US19112026</v>
          </cell>
          <cell r="C513">
            <v>0.99613488747114487</v>
          </cell>
          <cell r="D513">
            <v>0.99623042782501603</v>
          </cell>
          <cell r="E513">
            <v>0.9963480921621003</v>
          </cell>
          <cell r="F513">
            <v>0.99648465603234815</v>
          </cell>
          <cell r="G513"/>
          <cell r="H513"/>
          <cell r="I513"/>
          <cell r="J513"/>
          <cell r="K513"/>
        </row>
        <row r="514">
          <cell r="B514" t="str">
            <v>US01122026</v>
          </cell>
          <cell r="C514">
            <v>0.99483557684655111</v>
          </cell>
          <cell r="D514">
            <v>0.99493510430836929</v>
          </cell>
          <cell r="E514">
            <v>0.99503834081734843</v>
          </cell>
          <cell r="F514">
            <v>0.99515459229013925</v>
          </cell>
          <cell r="G514"/>
          <cell r="H514"/>
          <cell r="I514"/>
          <cell r="J514"/>
          <cell r="K514"/>
        </row>
        <row r="515">
          <cell r="B515" t="str">
            <v>US10122026</v>
          </cell>
          <cell r="C515">
            <v>0.993862536688776</v>
          </cell>
          <cell r="D515">
            <v>0.9939403081169208</v>
          </cell>
          <cell r="E515">
            <v>0.99405784899226357</v>
          </cell>
          <cell r="F515">
            <v>0.99417812558190066</v>
          </cell>
          <cell r="G515"/>
          <cell r="H515"/>
          <cell r="I515"/>
          <cell r="J515"/>
          <cell r="K515"/>
        </row>
        <row r="516">
          <cell r="B516"/>
          <cell r="C516"/>
          <cell r="D516"/>
          <cell r="E516"/>
          <cell r="F516"/>
          <cell r="G516"/>
          <cell r="H516"/>
          <cell r="I516"/>
          <cell r="J516"/>
          <cell r="K516"/>
        </row>
        <row r="517">
          <cell r="B517" t="str">
            <v>Pagare $</v>
          </cell>
          <cell r="C517"/>
          <cell r="D517"/>
          <cell r="E517"/>
          <cell r="F517"/>
          <cell r="G517"/>
          <cell r="H517"/>
          <cell r="I517"/>
          <cell r="J517"/>
          <cell r="K517"/>
        </row>
        <row r="518">
          <cell r="B518"/>
          <cell r="C518"/>
          <cell r="D518"/>
          <cell r="E518"/>
          <cell r="F518"/>
          <cell r="G518"/>
          <cell r="H518"/>
          <cell r="I518"/>
          <cell r="J518"/>
          <cell r="K518"/>
        </row>
        <row r="519">
          <cell r="B519" t="str">
            <v>#MAV150270009</v>
          </cell>
          <cell r="C519">
            <v>0.90965732087227413</v>
          </cell>
          <cell r="D519">
            <v>0.91031524341580217</v>
          </cell>
          <cell r="E519">
            <v>0.9109741183517609</v>
          </cell>
          <cell r="F519">
            <v>0.91295647823911952</v>
          </cell>
          <cell r="G519"/>
          <cell r="H519"/>
          <cell r="I519"/>
          <cell r="J519"/>
          <cell r="K519"/>
        </row>
        <row r="520">
          <cell r="B520" t="str">
            <v>#MAV150270010</v>
          </cell>
          <cell r="C520">
            <v>0.90965732087227413</v>
          </cell>
          <cell r="D520">
            <v>0.91031524341580217</v>
          </cell>
          <cell r="E520">
            <v>0.9109741183517609</v>
          </cell>
          <cell r="F520">
            <v>0.91295647823911952</v>
          </cell>
          <cell r="G520"/>
          <cell r="H520"/>
          <cell r="I520"/>
          <cell r="J520"/>
          <cell r="K520"/>
        </row>
        <row r="521">
          <cell r="B521" t="str">
            <v>#MAV101260047</v>
          </cell>
          <cell r="C521">
            <v>0.95908012391840725</v>
          </cell>
          <cell r="D521">
            <v>0.95975724715326793</v>
          </cell>
          <cell r="E521">
            <v>0.9604353271795304</v>
          </cell>
          <cell r="F521">
            <v>0.96247532832934057</v>
          </cell>
          <cell r="G521"/>
          <cell r="H521"/>
          <cell r="I521"/>
          <cell r="J521"/>
          <cell r="K521"/>
        </row>
        <row r="522"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</row>
        <row r="523">
          <cell r="B523" t="str">
            <v>Pagarés USD</v>
          </cell>
          <cell r="C523"/>
          <cell r="D523"/>
          <cell r="E523"/>
          <cell r="F523"/>
          <cell r="G523"/>
          <cell r="H523"/>
          <cell r="I523"/>
          <cell r="J523"/>
          <cell r="K523"/>
        </row>
        <row r="524">
          <cell r="B524"/>
          <cell r="C524"/>
          <cell r="D524"/>
          <cell r="E524"/>
          <cell r="F524"/>
          <cell r="G524"/>
          <cell r="H524"/>
          <cell r="I524"/>
          <cell r="J524"/>
          <cell r="K524"/>
        </row>
        <row r="525">
          <cell r="B525" t="str">
            <v>#UMV130170010</v>
          </cell>
          <cell r="C525">
            <v>1486.1296707901279</v>
          </cell>
          <cell r="D525">
            <v>1485.1792948831612</v>
          </cell>
          <cell r="E525">
            <v>1484.870062220622</v>
          </cell>
          <cell r="F525">
            <v>1486.4332240769222</v>
          </cell>
          <cell r="G525"/>
          <cell r="H525"/>
          <cell r="I525"/>
          <cell r="J525"/>
          <cell r="K525"/>
        </row>
        <row r="526">
          <cell r="B526" t="str">
            <v>#UMV130170012</v>
          </cell>
          <cell r="C526">
            <v>1486.1296707901279</v>
          </cell>
          <cell r="D526">
            <v>1485.1792948831612</v>
          </cell>
          <cell r="E526">
            <v>1484.870062220622</v>
          </cell>
          <cell r="F526">
            <v>1486.4332240769222</v>
          </cell>
          <cell r="G526"/>
          <cell r="H526"/>
          <cell r="I526"/>
          <cell r="J526"/>
          <cell r="K526"/>
        </row>
        <row r="527">
          <cell r="B527" t="str">
            <v>#UMV150270056</v>
          </cell>
          <cell r="C527">
            <v>1476.4788343198109</v>
          </cell>
          <cell r="D527">
            <v>1475.5326092904013</v>
          </cell>
          <cell r="E527">
            <v>1475.2233639545409</v>
          </cell>
          <cell r="F527">
            <v>1476.7702953052228</v>
          </cell>
          <cell r="G527"/>
          <cell r="H527"/>
          <cell r="I527"/>
          <cell r="J527"/>
          <cell r="K527"/>
        </row>
        <row r="528">
          <cell r="B528" t="str">
            <v>#UMV150270055</v>
          </cell>
          <cell r="C528">
            <v>1476.4788343198109</v>
          </cell>
          <cell r="D528">
            <v>1475.5326092904013</v>
          </cell>
          <cell r="E528">
            <v>1475.2233639545409</v>
          </cell>
          <cell r="F528">
            <v>1476.7702953052228</v>
          </cell>
          <cell r="G528"/>
          <cell r="H528"/>
          <cell r="I528"/>
          <cell r="J528"/>
          <cell r="K528"/>
        </row>
        <row r="529">
          <cell r="B529" t="str">
            <v>#UMV150370062</v>
          </cell>
          <cell r="C529">
            <v>1467.8690572835419</v>
          </cell>
          <cell r="D529">
            <v>1466.9265576676348</v>
          </cell>
          <cell r="E529">
            <v>1466.6173233362085</v>
          </cell>
          <cell r="F529">
            <v>1468.1498421812321</v>
          </cell>
          <cell r="G529"/>
          <cell r="H529"/>
          <cell r="I529"/>
          <cell r="J529"/>
          <cell r="K529"/>
        </row>
        <row r="530">
          <cell r="B530" t="str">
            <v>#UMV150370061</v>
          </cell>
          <cell r="C530">
            <v>1467.8690572835419</v>
          </cell>
          <cell r="D530">
            <v>1466.9265576676348</v>
          </cell>
          <cell r="E530">
            <v>1466.6173233362085</v>
          </cell>
          <cell r="F530">
            <v>1468.1498421812321</v>
          </cell>
          <cell r="G530"/>
          <cell r="H530"/>
          <cell r="I530"/>
          <cell r="J530"/>
          <cell r="K530"/>
        </row>
        <row r="531">
          <cell r="B531" t="str">
            <v>#UMV150170072</v>
          </cell>
          <cell r="C531">
            <v>1484.8773182471427</v>
          </cell>
          <cell r="D531">
            <v>1483.9274794919147</v>
          </cell>
          <cell r="E531">
            <v>1483.6182436922334</v>
          </cell>
          <cell r="F531">
            <v>1485.1792948831612</v>
          </cell>
          <cell r="G531"/>
          <cell r="H531"/>
          <cell r="I531"/>
          <cell r="J531"/>
          <cell r="K531"/>
        </row>
        <row r="532">
          <cell r="B532" t="str">
            <v>#UMV150170073</v>
          </cell>
          <cell r="C532">
            <v>1484.8773182471427</v>
          </cell>
          <cell r="D532">
            <v>1483.9274794919147</v>
          </cell>
          <cell r="E532">
            <v>1483.6182436922334</v>
          </cell>
          <cell r="F532">
            <v>1485.1792948831612</v>
          </cell>
          <cell r="G532"/>
          <cell r="H532"/>
          <cell r="I532"/>
          <cell r="J532"/>
          <cell r="K532"/>
        </row>
        <row r="533">
          <cell r="B533" t="str">
            <v>#UMV150370068</v>
          </cell>
          <cell r="C533">
            <v>1467.8690572835419</v>
          </cell>
          <cell r="D533">
            <v>1466.9265576676348</v>
          </cell>
          <cell r="E533">
            <v>1466.6173233362085</v>
          </cell>
          <cell r="F533">
            <v>1468.1498421812321</v>
          </cell>
          <cell r="G533"/>
          <cell r="H533"/>
          <cell r="I533"/>
          <cell r="J533"/>
          <cell r="K533"/>
        </row>
        <row r="534">
          <cell r="B534" t="str">
            <v>#UMV150370069</v>
          </cell>
          <cell r="C534">
            <v>1467.8690572835419</v>
          </cell>
          <cell r="D534">
            <v>1466.9265576676348</v>
          </cell>
          <cell r="E534">
            <v>1466.6173233362085</v>
          </cell>
          <cell r="F534">
            <v>1468.1498421812321</v>
          </cell>
          <cell r="G534"/>
          <cell r="H534"/>
          <cell r="I534"/>
          <cell r="J534"/>
          <cell r="K534"/>
        </row>
        <row r="535">
          <cell r="B535" t="str">
            <v>#UMV080470014</v>
          </cell>
          <cell r="C535">
            <v>1460.5687708544517</v>
          </cell>
          <cell r="D535">
            <v>1459.6294465163867</v>
          </cell>
          <cell r="E535">
            <v>1459.3202379977765</v>
          </cell>
          <cell r="F535">
            <v>1460.8405860101182</v>
          </cell>
          <cell r="G535"/>
          <cell r="H535"/>
          <cell r="I535"/>
          <cell r="J535"/>
          <cell r="K535"/>
        </row>
        <row r="536">
          <cell r="B536" t="str">
            <v>#UMV110270016</v>
          </cell>
          <cell r="C536">
            <v>1477.7170543774371</v>
          </cell>
          <cell r="D536">
            <v>1476.7702953052228</v>
          </cell>
          <cell r="E536">
            <v>1476.4610501171637</v>
          </cell>
          <cell r="F536">
            <v>1478.0100594207645</v>
          </cell>
          <cell r="G536"/>
          <cell r="H536"/>
          <cell r="I536"/>
          <cell r="J536"/>
          <cell r="K536"/>
        </row>
        <row r="537">
          <cell r="B537" t="str">
            <v>#UMV150470068</v>
          </cell>
          <cell r="C537">
            <v>1458.4531790581905</v>
          </cell>
          <cell r="D537">
            <v>1457.5147777276836</v>
          </cell>
          <cell r="E537">
            <v>1457.2055795162821</v>
          </cell>
          <cell r="F537">
            <v>1458.7224089842812</v>
          </cell>
          <cell r="G537"/>
          <cell r="H537"/>
          <cell r="I537"/>
          <cell r="J537"/>
          <cell r="K537"/>
        </row>
        <row r="538">
          <cell r="B538" t="str">
            <v>#UMV250270018</v>
          </cell>
          <cell r="C538">
            <v>1473.3923436630369</v>
          </cell>
          <cell r="D538">
            <v>1472.4474517267049</v>
          </cell>
          <cell r="E538">
            <v>1472.1382079166247</v>
          </cell>
          <cell r="F538">
            <v>1473.6799652917082</v>
          </cell>
          <cell r="G538"/>
          <cell r="H538"/>
          <cell r="I538"/>
          <cell r="J538"/>
          <cell r="K538"/>
        </row>
        <row r="539">
          <cell r="B539" t="str">
            <v>#UMV290370010</v>
          </cell>
          <cell r="C539">
            <v>1463.6017138806076</v>
          </cell>
          <cell r="D539">
            <v>1462.6610685205151</v>
          </cell>
          <cell r="E539">
            <v>1462.3518474412106</v>
          </cell>
          <cell r="F539">
            <v>1463.8772463612686</v>
          </cell>
          <cell r="G539"/>
          <cell r="H539"/>
          <cell r="I539"/>
          <cell r="J539"/>
          <cell r="K539"/>
        </row>
        <row r="540">
          <cell r="B540" t="str">
            <v>#UMV040370018</v>
          </cell>
          <cell r="C540">
            <v>1471.2394670119938</v>
          </cell>
          <cell r="D540">
            <v>1470.2955065294291</v>
          </cell>
          <cell r="E540">
            <v>1469.9862653842727</v>
          </cell>
          <cell r="F540">
            <v>1471.5244186479838</v>
          </cell>
          <cell r="G540"/>
          <cell r="H540"/>
          <cell r="I540"/>
          <cell r="J540"/>
          <cell r="K540"/>
        </row>
        <row r="541">
          <cell r="B541" t="str">
            <v>#UMV110370016</v>
          </cell>
          <cell r="C541">
            <v>1469.09287261894</v>
          </cell>
          <cell r="D541">
            <v>1468.1498421812321</v>
          </cell>
          <cell r="E541">
            <v>1467.8406050029087</v>
          </cell>
          <cell r="F541">
            <v>1469.3751686156306</v>
          </cell>
          <cell r="G541"/>
          <cell r="H541"/>
          <cell r="I541"/>
          <cell r="J541"/>
          <cell r="K541"/>
        </row>
        <row r="542">
          <cell r="B542" t="str">
            <v>#UMV210170045</v>
          </cell>
          <cell r="C542">
            <v>1484.251933154761</v>
          </cell>
          <cell r="D542">
            <v>1483.3023628026283</v>
          </cell>
          <cell r="E542">
            <v>1482.9931256030027</v>
          </cell>
          <cell r="F542">
            <v>1484.5531232964263</v>
          </cell>
          <cell r="G542"/>
          <cell r="H542"/>
          <cell r="I542"/>
          <cell r="J542"/>
          <cell r="K542"/>
        </row>
        <row r="543">
          <cell r="B543" t="str">
            <v>#UMV280170011</v>
          </cell>
          <cell r="C543">
            <v>1482.0672276673426</v>
          </cell>
          <cell r="D543">
            <v>1481.118595819072</v>
          </cell>
          <cell r="E543">
            <v>1480.8093546001223</v>
          </cell>
          <cell r="F543">
            <v>1482.3656746534525</v>
          </cell>
          <cell r="G543"/>
          <cell r="H543"/>
          <cell r="I543"/>
          <cell r="J543"/>
          <cell r="K543"/>
        </row>
        <row r="544">
          <cell r="B544" t="str">
            <v>#UMV070170014</v>
          </cell>
          <cell r="C544">
            <v>1488.640724024511</v>
          </cell>
          <cell r="D544">
            <v>1487.6892724317399</v>
          </cell>
          <cell r="E544">
            <v>1487.3800474004452</v>
          </cell>
          <cell r="F544">
            <v>1488.9474453242833</v>
          </cell>
          <cell r="G544"/>
          <cell r="H544"/>
          <cell r="I544"/>
          <cell r="J544"/>
          <cell r="K544"/>
        </row>
        <row r="545">
          <cell r="B545" t="str">
            <v>#UMV010670037</v>
          </cell>
          <cell r="C545">
            <v>1443.813918927382</v>
          </cell>
          <cell r="D545">
            <v>1442.8819393240215</v>
          </cell>
          <cell r="E545">
            <v>1442.5728472412579</v>
          </cell>
          <cell r="F545">
            <v>1444.0654342320597</v>
          </cell>
          <cell r="G545"/>
          <cell r="H545"/>
          <cell r="I545"/>
          <cell r="J545"/>
          <cell r="K545"/>
        </row>
        <row r="546">
          <cell r="B546" t="str">
            <v>#UMV290670004</v>
          </cell>
          <cell r="C546">
            <v>1435.5798227861239</v>
          </cell>
          <cell r="D546">
            <v>1434.6514819058393</v>
          </cell>
          <cell r="E546">
            <v>1434.3424762428847</v>
          </cell>
          <cell r="F546">
            <v>1435.8215081132676</v>
          </cell>
          <cell r="G546"/>
          <cell r="H546"/>
          <cell r="I546"/>
          <cell r="J546"/>
          <cell r="K546"/>
        </row>
        <row r="547">
          <cell r="B547" t="str">
            <v>#UMV150470071</v>
          </cell>
          <cell r="C547">
            <v>1457.2470188672289</v>
          </cell>
          <cell r="D547">
            <v>1456.3091443383973</v>
          </cell>
          <cell r="E547">
            <v>1455.999952571982</v>
          </cell>
          <cell r="F547">
            <v>1457.5147777276836</v>
          </cell>
          <cell r="G547"/>
          <cell r="H547"/>
          <cell r="I547"/>
          <cell r="J547"/>
          <cell r="K547"/>
        </row>
        <row r="548">
          <cell r="B548" t="str">
            <v>#UMV040570009</v>
          </cell>
          <cell r="C548">
            <v>1452.1430170544913</v>
          </cell>
          <cell r="D548">
            <v>1451.207376314363</v>
          </cell>
          <cell r="E548">
            <v>1450.8982163909288</v>
          </cell>
          <cell r="F548">
            <v>1452.4045738351617</v>
          </cell>
          <cell r="G548"/>
          <cell r="H548"/>
          <cell r="I548"/>
          <cell r="J548"/>
          <cell r="K548"/>
        </row>
        <row r="549">
          <cell r="B549" t="str">
            <v>#UMV140170021</v>
          </cell>
          <cell r="C549">
            <v>1485.1902084630747</v>
          </cell>
          <cell r="D549">
            <v>1484.2402354631065</v>
          </cell>
          <cell r="E549">
            <v>1483.9310004055008</v>
          </cell>
          <cell r="F549">
            <v>1485.4925788036066</v>
          </cell>
          <cell r="G549"/>
          <cell r="H549"/>
          <cell r="I549"/>
          <cell r="J549"/>
          <cell r="K549"/>
        </row>
        <row r="550">
          <cell r="B550" t="str">
            <v>#UMV200470019</v>
          </cell>
          <cell r="C550">
            <v>1456.9457904770934</v>
          </cell>
          <cell r="D550">
            <v>1456.0080475769696</v>
          </cell>
          <cell r="E550">
            <v>1455.6988574845693</v>
          </cell>
          <cell r="F550">
            <v>1457.2131822740866</v>
          </cell>
        </row>
        <row r="551">
          <cell r="B551" t="str">
            <v>#UMV200470018</v>
          </cell>
          <cell r="C551">
            <v>1456.9457904770934</v>
          </cell>
          <cell r="D551">
            <v>1456.0080475769696</v>
          </cell>
          <cell r="E551">
            <v>1455.6988574845693</v>
          </cell>
          <cell r="F551">
            <v>1457.2131822740866</v>
          </cell>
        </row>
        <row r="552">
          <cell r="B552" t="str">
            <v>#UMV200470017</v>
          </cell>
          <cell r="C552">
            <v>1456.9457904770934</v>
          </cell>
          <cell r="D552">
            <v>1456.0080475769696</v>
          </cell>
          <cell r="E552">
            <v>1455.6988574845693</v>
          </cell>
          <cell r="F552">
            <v>1457.2131822740866</v>
          </cell>
        </row>
        <row r="553">
          <cell r="B553" t="str">
            <v>#UMV200470016</v>
          </cell>
          <cell r="C553">
            <v>1456.9457904770934</v>
          </cell>
          <cell r="D553">
            <v>1456.0080475769696</v>
          </cell>
          <cell r="E553">
            <v>1455.6988574845693</v>
          </cell>
          <cell r="F553">
            <v>1457.2131822740866</v>
          </cell>
        </row>
        <row r="554">
          <cell r="B554" t="str">
            <v>#UMV040570010</v>
          </cell>
          <cell r="C554">
            <v>1452.741631373455</v>
          </cell>
          <cell r="D554">
            <v>1451.8057282645948</v>
          </cell>
          <cell r="E554">
            <v>1451.4965642237983</v>
          </cell>
          <cell r="F554">
            <v>1453.0039136371461</v>
          </cell>
        </row>
        <row r="555">
          <cell r="B555" t="str">
            <v>#UMV180570011</v>
          </cell>
          <cell r="C555">
            <v>1448.5616654797934</v>
          </cell>
          <cell r="D555">
            <v>1447.6275965460127</v>
          </cell>
          <cell r="E555">
            <v>1447.3184633799458</v>
          </cell>
          <cell r="F555">
            <v>1448.8188925303389</v>
          </cell>
        </row>
        <row r="556">
          <cell r="B556" t="str">
            <v>#UMV010670043</v>
          </cell>
          <cell r="C556">
            <v>1444.4056845622692</v>
          </cell>
          <cell r="D556">
            <v>1443.4734441930509</v>
          </cell>
          <cell r="E556">
            <v>1443.1643466406199</v>
          </cell>
          <cell r="F556">
            <v>1444.6579100382189</v>
          </cell>
        </row>
        <row r="557">
          <cell r="B557" t="str">
            <v>#UMV220670013</v>
          </cell>
          <cell r="C557">
            <v>1438.216235360479</v>
          </cell>
          <cell r="D557">
            <v>1437.2867273318166</v>
          </cell>
          <cell r="E557">
            <v>1436.9776919046203</v>
          </cell>
          <cell r="F557">
            <v>1438.4610575809697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/>
          <cell r="N495"/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</sheetData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6"/>
  <sheetViews>
    <sheetView workbookViewId="0">
      <pane ySplit="1" topLeftCell="A143" activePane="bottomLeft" state="frozen"/>
      <selection pane="bottomLeft" activeCell="H163" sqref="H163"/>
    </sheetView>
  </sheetViews>
  <sheetFormatPr baseColWidth="10" defaultRowHeight="15" x14ac:dyDescent="0.25"/>
  <sheetData>
    <row r="1" spans="1:15" x14ac:dyDescent="0.25">
      <c r="A1" t="s">
        <v>2</v>
      </c>
      <c r="B1" t="s">
        <v>3</v>
      </c>
      <c r="C1" t="s">
        <v>4</v>
      </c>
      <c r="D1" t="s">
        <v>12</v>
      </c>
      <c r="E1" t="s">
        <v>7</v>
      </c>
      <c r="F1" t="s">
        <v>11</v>
      </c>
      <c r="G1" t="s">
        <v>11</v>
      </c>
      <c r="H1" t="s">
        <v>13</v>
      </c>
      <c r="I1" t="s">
        <v>14</v>
      </c>
      <c r="J1" s="10" t="s">
        <v>15</v>
      </c>
      <c r="K1" s="10" t="s">
        <v>16</v>
      </c>
      <c r="L1" s="10" t="s">
        <v>17</v>
      </c>
      <c r="M1" s="10" t="s">
        <v>18</v>
      </c>
      <c r="N1" s="10" t="s">
        <v>19</v>
      </c>
      <c r="O1" s="10" t="s">
        <v>20</v>
      </c>
    </row>
    <row r="2" spans="1:15" x14ac:dyDescent="0.25">
      <c r="A2" s="8">
        <v>46072</v>
      </c>
      <c r="C2">
        <v>102.99999999941318</v>
      </c>
      <c r="E2">
        <v>121.4499999999918</v>
      </c>
      <c r="F2">
        <v>103.70000000000471</v>
      </c>
      <c r="G2" s="10">
        <v>1.037000000000047</v>
      </c>
      <c r="I2" s="10">
        <v>1.0390000000000437</v>
      </c>
      <c r="J2" s="10">
        <v>1.0255000000000369</v>
      </c>
      <c r="K2" s="10">
        <v>1.0959999999939141</v>
      </c>
      <c r="L2" s="10">
        <v>1.0525000000000342</v>
      </c>
      <c r="M2" s="10">
        <v>3.1489999999999956</v>
      </c>
      <c r="N2" s="10">
        <v>0.99499999999518851</v>
      </c>
      <c r="O2" s="10">
        <v>1.0039999999997464</v>
      </c>
    </row>
    <row r="3" spans="1:15" x14ac:dyDescent="0.25">
      <c r="A3" s="8">
        <v>46073</v>
      </c>
      <c r="C3">
        <v>104.89999999968605</v>
      </c>
      <c r="E3">
        <v>121.79999999999124</v>
      </c>
      <c r="F3">
        <v>104.14999999893084</v>
      </c>
      <c r="G3" s="10">
        <v>1.0414999999893084</v>
      </c>
      <c r="I3" s="10">
        <v>1.0385000000000253</v>
      </c>
      <c r="J3" s="10">
        <v>1.0275000000000187</v>
      </c>
      <c r="K3" s="10">
        <v>1.10149999999524</v>
      </c>
      <c r="L3" s="10">
        <v>1.0550000000000848</v>
      </c>
      <c r="M3" s="10">
        <v>3.1950000000001011</v>
      </c>
      <c r="N3" s="10">
        <v>0.98999999999997823</v>
      </c>
      <c r="O3" s="10">
        <v>1.0052499999997973</v>
      </c>
    </row>
    <row r="4" spans="1:15" x14ac:dyDescent="0.25">
      <c r="A4" s="8">
        <v>46076</v>
      </c>
      <c r="C4">
        <v>103.99999999937211</v>
      </c>
      <c r="E4">
        <v>121.89999999998918</v>
      </c>
      <c r="F4">
        <v>103.50000000000973</v>
      </c>
      <c r="G4" s="10">
        <v>1.0350000000000974</v>
      </c>
      <c r="I4" s="10">
        <v>0.9999999999992718</v>
      </c>
      <c r="J4" s="10">
        <v>1.0294000000000267</v>
      </c>
      <c r="K4" s="10">
        <v>1.1029999999954871</v>
      </c>
      <c r="L4" s="10">
        <v>1.0519999999999896</v>
      </c>
      <c r="M4" s="10">
        <v>3.1829999999999679</v>
      </c>
      <c r="N4" s="10">
        <v>1.033000000000005</v>
      </c>
      <c r="O4" s="10">
        <v>1.0084999999998279</v>
      </c>
    </row>
    <row r="5" spans="1:15" x14ac:dyDescent="0.25">
      <c r="A5" s="8">
        <v>46077</v>
      </c>
      <c r="C5">
        <v>103.50000000000152</v>
      </c>
      <c r="E5">
        <v>123.55000000000049</v>
      </c>
      <c r="F5">
        <v>105.14999999930235</v>
      </c>
      <c r="G5" s="10">
        <v>1.0514999999930235</v>
      </c>
      <c r="I5" s="10">
        <v>1.0089999999997927</v>
      </c>
      <c r="J5" s="10">
        <v>1.0389499999999909</v>
      </c>
      <c r="K5" s="10">
        <v>1.1159999999973647</v>
      </c>
      <c r="L5" s="10">
        <v>1.0614999999999595</v>
      </c>
      <c r="M5" s="10">
        <v>3.1779999999999733</v>
      </c>
      <c r="N5" s="10">
        <v>1.004999999997616</v>
      </c>
      <c r="O5" s="10">
        <v>1.0114999999998535</v>
      </c>
    </row>
    <row r="6" spans="1:15" x14ac:dyDescent="0.25">
      <c r="A6" s="8">
        <v>46078</v>
      </c>
      <c r="C6">
        <v>104.90000000000501</v>
      </c>
      <c r="E6">
        <v>123.59999999999873</v>
      </c>
      <c r="F6">
        <v>105.49999999939821</v>
      </c>
      <c r="G6" s="10">
        <v>1.0549999999939821</v>
      </c>
      <c r="I6" s="10"/>
      <c r="J6" s="10">
        <v>1.0409999999999873</v>
      </c>
      <c r="K6" s="10">
        <v>1.1189999999977578</v>
      </c>
      <c r="L6" s="10">
        <v>1.0615000000000072</v>
      </c>
      <c r="M6" s="10">
        <v>3.1705000000001764</v>
      </c>
      <c r="N6" s="10">
        <v>1.004999999997251</v>
      </c>
      <c r="O6" s="10">
        <v>1.0114999999998486</v>
      </c>
    </row>
    <row r="7" spans="1:15" x14ac:dyDescent="0.25">
      <c r="A7" s="8">
        <v>46079</v>
      </c>
      <c r="C7">
        <v>103.50000000000257</v>
      </c>
      <c r="E7">
        <v>124.14999999999895</v>
      </c>
      <c r="F7">
        <v>105.99999999950973</v>
      </c>
      <c r="G7" s="10">
        <v>1.0599999999950973</v>
      </c>
      <c r="I7" s="10">
        <v>1.026000000000066</v>
      </c>
      <c r="J7" s="10">
        <v>1.042009999999967</v>
      </c>
      <c r="K7" s="10">
        <v>1.1254999999983901</v>
      </c>
      <c r="L7" s="10">
        <v>1.0749999999899797</v>
      </c>
      <c r="M7" s="10">
        <v>3.2039999999999678</v>
      </c>
      <c r="N7" s="10">
        <v>1.009999999998396</v>
      </c>
      <c r="O7" s="10">
        <v>1.0169999999999662</v>
      </c>
    </row>
    <row r="8" spans="1:15" x14ac:dyDescent="0.25">
      <c r="A8" s="8">
        <v>46080</v>
      </c>
      <c r="C8">
        <v>104.89999999999642</v>
      </c>
      <c r="E8">
        <v>124.50000000000203</v>
      </c>
      <c r="F8">
        <v>105.99999999951297</v>
      </c>
      <c r="G8" s="10">
        <v>1.0599999999951297</v>
      </c>
      <c r="I8" s="10">
        <v>1.0290000000000044</v>
      </c>
      <c r="J8" s="10">
        <v>1.0489999999999859</v>
      </c>
      <c r="K8" s="10">
        <v>1.1284999999985121</v>
      </c>
      <c r="L8" s="10">
        <v>1.103999999997076</v>
      </c>
      <c r="M8" s="10">
        <v>3.2499999999773217</v>
      </c>
      <c r="N8" s="10">
        <v>1.0400000000001015</v>
      </c>
      <c r="O8" s="10">
        <v>1.0244999999999562</v>
      </c>
    </row>
    <row r="9" spans="1:15" x14ac:dyDescent="0.25">
      <c r="A9" s="8">
        <v>46083</v>
      </c>
      <c r="C9">
        <v>106.99999999972248</v>
      </c>
      <c r="E9">
        <v>124.79999999999687</v>
      </c>
      <c r="F9">
        <v>106.74999999965307</v>
      </c>
      <c r="G9" s="10">
        <v>1.0674999999965307</v>
      </c>
      <c r="I9" s="10">
        <v>1.0290000000000237</v>
      </c>
      <c r="J9" s="10">
        <v>1.0555000000000447</v>
      </c>
      <c r="K9" s="10">
        <v>1.1284999999984553</v>
      </c>
      <c r="L9" s="10">
        <v>1.0909999999948847</v>
      </c>
      <c r="M9" s="10">
        <v>3.2554999999793024</v>
      </c>
      <c r="N9" s="10">
        <v>1.0199999999993843</v>
      </c>
      <c r="O9" s="10">
        <v>1.0239999999999734</v>
      </c>
    </row>
    <row r="10" spans="1:15" x14ac:dyDescent="0.25">
      <c r="A10" s="8">
        <v>46084</v>
      </c>
      <c r="C10">
        <v>106.79999999978268</v>
      </c>
      <c r="E10">
        <v>124.30000000000105</v>
      </c>
      <c r="F10">
        <v>106.6999999996502</v>
      </c>
      <c r="G10" s="10">
        <v>1.0669999999965021</v>
      </c>
      <c r="I10" s="10">
        <v>1.0290000000000428</v>
      </c>
      <c r="J10" s="10">
        <v>1.0584999999999973</v>
      </c>
      <c r="K10" s="10">
        <v>1.1219999999980719</v>
      </c>
      <c r="L10" s="10">
        <v>1.0839999999930721</v>
      </c>
      <c r="M10" s="10">
        <v>3.2324999999997717</v>
      </c>
      <c r="N10" s="10">
        <v>1.0299999999997191</v>
      </c>
      <c r="O10" s="10">
        <v>1.0269999999999477</v>
      </c>
    </row>
    <row r="11" spans="1:15" x14ac:dyDescent="0.25">
      <c r="A11" s="8">
        <v>46085</v>
      </c>
      <c r="C11">
        <v>106.79999999987135</v>
      </c>
      <c r="E11">
        <v>124.59999999999923</v>
      </c>
      <c r="F11">
        <v>106.74999999964984</v>
      </c>
      <c r="G11" s="10">
        <v>1.0674999999964985</v>
      </c>
      <c r="I11" s="10">
        <v>0.99799999999567179</v>
      </c>
      <c r="J11" s="10">
        <v>1.0574999999999493</v>
      </c>
      <c r="K11" s="10">
        <v>1.1249999999983304</v>
      </c>
      <c r="L11" s="10">
        <v>1.0849999999935449</v>
      </c>
      <c r="M11" s="10">
        <v>3.2490000000001835</v>
      </c>
      <c r="N11" s="10">
        <v>1.0399999999999416</v>
      </c>
      <c r="O11" s="10">
        <v>1.0299999999999416</v>
      </c>
    </row>
    <row r="12" spans="1:15" x14ac:dyDescent="0.25">
      <c r="A12" s="8">
        <v>46086</v>
      </c>
      <c r="C12">
        <v>105.19999999983145</v>
      </c>
      <c r="E12">
        <v>124.60000000000102</v>
      </c>
      <c r="F12">
        <v>106.49999999960409</v>
      </c>
      <c r="G12" s="10">
        <v>1.0649999999960409</v>
      </c>
      <c r="I12" s="10">
        <v>1.0390000000000099</v>
      </c>
      <c r="J12" s="10">
        <v>1.0523600000000179</v>
      </c>
      <c r="K12" s="10">
        <v>1.1244999999982772</v>
      </c>
      <c r="L12" s="10">
        <v>1.0774999999910853</v>
      </c>
      <c r="M12" s="10">
        <v>3.2459999999998952</v>
      </c>
      <c r="N12" s="11">
        <v>1.0675000000000372</v>
      </c>
      <c r="O12" s="10">
        <v>1.032000000000004</v>
      </c>
    </row>
    <row r="13" spans="1:15" x14ac:dyDescent="0.25">
      <c r="A13" s="8">
        <v>46087</v>
      </c>
      <c r="C13">
        <v>104.99999999984149</v>
      </c>
      <c r="E13">
        <v>124.64999999999526</v>
      </c>
      <c r="F13">
        <v>105.9999999995149</v>
      </c>
      <c r="G13" s="10">
        <v>1.059999999995149</v>
      </c>
      <c r="I13" s="10">
        <v>1.045499999999989</v>
      </c>
      <c r="J13" s="10">
        <v>1.0480000000000138</v>
      </c>
      <c r="K13" s="10">
        <v>1.123999999998156</v>
      </c>
      <c r="L13" s="10">
        <v>1.0749999999900617</v>
      </c>
      <c r="M13" s="10">
        <v>3.2410000000000663</v>
      </c>
      <c r="N13" s="10"/>
      <c r="O13" s="10">
        <v>1.0349999999999961</v>
      </c>
    </row>
    <row r="14" spans="1:15" x14ac:dyDescent="0.25">
      <c r="A14" s="8">
        <v>46090</v>
      </c>
      <c r="C14">
        <v>104.54999999980792</v>
      </c>
      <c r="E14">
        <v>124.99999999999638</v>
      </c>
      <c r="F14">
        <v>105.74999999945535</v>
      </c>
      <c r="G14" s="10">
        <v>1.0574999999945536</v>
      </c>
      <c r="I14" s="10">
        <v>1.0395000000000292</v>
      </c>
      <c r="J14" s="10">
        <v>1.044999999999999</v>
      </c>
      <c r="K14" s="10">
        <v>1.1249999999982796</v>
      </c>
      <c r="L14" s="10">
        <v>1.0744999999898392</v>
      </c>
      <c r="M14" s="10">
        <v>3.24999999999975</v>
      </c>
      <c r="N14" s="11">
        <v>1.0675000000000372</v>
      </c>
      <c r="O14" s="10">
        <v>1.0358999999999625</v>
      </c>
    </row>
    <row r="15" spans="1:15" x14ac:dyDescent="0.25">
      <c r="A15" s="8">
        <v>46091</v>
      </c>
      <c r="C15">
        <v>106.04999999990095</v>
      </c>
      <c r="E15">
        <v>125.50000000000064</v>
      </c>
      <c r="F15">
        <v>106.64999999963499</v>
      </c>
      <c r="G15" s="10">
        <v>1.0664999999963498</v>
      </c>
      <c r="I15" s="10">
        <v>1.0099999999979161</v>
      </c>
      <c r="J15" s="10">
        <v>1.0494000000000043</v>
      </c>
      <c r="K15" s="10">
        <v>1.1294999999985909</v>
      </c>
      <c r="L15" s="10">
        <v>1.0749999999900226</v>
      </c>
      <c r="M15" s="10">
        <v>3.2500000000001599</v>
      </c>
      <c r="N15" s="10">
        <v>1.0679999999999417</v>
      </c>
      <c r="O15" s="10">
        <v>1.0378999999999534</v>
      </c>
    </row>
    <row r="16" spans="1:15" x14ac:dyDescent="0.25">
      <c r="A16" s="8">
        <v>46092</v>
      </c>
      <c r="C16">
        <v>106.7999999999403</v>
      </c>
      <c r="E16">
        <v>126.00000000000557</v>
      </c>
      <c r="F16">
        <v>106.79999999966773</v>
      </c>
      <c r="G16" s="10">
        <v>1.0679999999966774</v>
      </c>
      <c r="I16" s="10">
        <v>1.0199999999994018</v>
      </c>
      <c r="J16" s="10">
        <v>1.0500000000000074</v>
      </c>
      <c r="K16" s="10">
        <v>1.1354999999988609</v>
      </c>
      <c r="L16" s="10">
        <v>1.0829999999929263</v>
      </c>
      <c r="M16" s="10">
        <v>3.2540000000000036</v>
      </c>
      <c r="N16" s="10">
        <v>1.0675000000000372</v>
      </c>
      <c r="O16" s="10">
        <v>1.0384999999999893</v>
      </c>
    </row>
    <row r="17" spans="1:15" x14ac:dyDescent="0.25">
      <c r="A17" s="8">
        <v>46093</v>
      </c>
      <c r="C17">
        <v>106.19999999991859</v>
      </c>
      <c r="E17">
        <v>124.49999999999011</v>
      </c>
      <c r="F17">
        <v>106.44999999960689</v>
      </c>
      <c r="G17" s="10">
        <v>1.0644999999960689</v>
      </c>
      <c r="I17" s="10">
        <v>1.0099999999971798</v>
      </c>
      <c r="J17" s="10">
        <v>1.0455000000000034</v>
      </c>
      <c r="K17" s="10">
        <v>1.1284999999984682</v>
      </c>
      <c r="L17" s="10">
        <v>1.0824999999927818</v>
      </c>
      <c r="M17" s="10">
        <v>3.2504999999999495</v>
      </c>
      <c r="N17" s="10">
        <v>1.0159999999945137</v>
      </c>
      <c r="O17" s="10">
        <v>1.0409899999999972</v>
      </c>
    </row>
    <row r="18" spans="1:15" x14ac:dyDescent="0.25">
      <c r="A18" s="8">
        <v>46094</v>
      </c>
      <c r="C18">
        <v>107.94999999996216</v>
      </c>
      <c r="E18">
        <v>125.90000000000032</v>
      </c>
      <c r="F18">
        <v>106.54999999961852</v>
      </c>
      <c r="G18" s="10">
        <v>1.0654999999961852</v>
      </c>
      <c r="I18" s="10">
        <v>1.0369999999998949</v>
      </c>
      <c r="J18" s="10">
        <v>1.0590000000000477</v>
      </c>
      <c r="K18" s="10">
        <v>1.1354999999988571</v>
      </c>
      <c r="L18" s="10">
        <v>1.0874999999940276</v>
      </c>
      <c r="M18" s="10">
        <v>3.2999999999691103</v>
      </c>
      <c r="N18" s="10">
        <v>1.0379999999994793</v>
      </c>
      <c r="O18" s="10">
        <v>1.0540000000000018</v>
      </c>
    </row>
    <row r="19" spans="1:15" x14ac:dyDescent="0.25">
      <c r="A19" s="8">
        <v>46097</v>
      </c>
      <c r="C19">
        <v>107.74999999996066</v>
      </c>
      <c r="E19">
        <v>127.15000000000043</v>
      </c>
      <c r="F19">
        <v>107.09999999969627</v>
      </c>
      <c r="G19" s="10">
        <v>1.0709999999969626</v>
      </c>
      <c r="I19" s="10">
        <v>1.0484999999999984</v>
      </c>
      <c r="J19" s="10">
        <v>1.0609000000000328</v>
      </c>
      <c r="K19" s="10">
        <v>1.1419999999992334</v>
      </c>
      <c r="L19" s="10">
        <v>1.0869999999939537</v>
      </c>
      <c r="M19" s="10">
        <v>3.3429999999920428</v>
      </c>
      <c r="N19" s="10">
        <v>1.0479999999998857</v>
      </c>
      <c r="O19" s="10">
        <v>1.0660000000000289</v>
      </c>
    </row>
    <row r="20" spans="1:15" x14ac:dyDescent="0.25">
      <c r="A20" s="8">
        <v>46098</v>
      </c>
      <c r="C20">
        <v>107.24999999994462</v>
      </c>
      <c r="E20">
        <v>127.39999999999571</v>
      </c>
      <c r="F20">
        <v>107.74999999977079</v>
      </c>
      <c r="G20" s="10">
        <v>1.077499999997708</v>
      </c>
      <c r="I20" s="10">
        <v>1.0449999999999871</v>
      </c>
      <c r="J20" s="10">
        <v>1.0616999999999854</v>
      </c>
      <c r="K20" s="10">
        <v>1.1439999999992656</v>
      </c>
      <c r="L20" s="10">
        <v>1.0949999999957478</v>
      </c>
      <c r="M20" s="10">
        <v>3.3899999999988313</v>
      </c>
      <c r="N20" s="10">
        <v>1.0484999999998044</v>
      </c>
      <c r="O20" s="10">
        <v>1.0664999999999933</v>
      </c>
    </row>
    <row r="21" spans="1:15" x14ac:dyDescent="0.25">
      <c r="A21" s="8">
        <v>46099</v>
      </c>
      <c r="C21">
        <v>106.94999999994322</v>
      </c>
      <c r="E21">
        <v>127.60000000000218</v>
      </c>
      <c r="F21">
        <v>107.5499999997611</v>
      </c>
      <c r="G21" s="10">
        <v>1.0754999999976109</v>
      </c>
      <c r="I21" s="10">
        <v>1.0499999999999998</v>
      </c>
      <c r="J21" s="10">
        <v>1.0629999999999746</v>
      </c>
      <c r="K21" s="10">
        <v>1.1464999999993757</v>
      </c>
      <c r="L21" s="10">
        <v>1.0979999999962837</v>
      </c>
      <c r="M21" s="10">
        <v>3.4044999999992411</v>
      </c>
      <c r="N21" s="10">
        <v>1.0699999999999621</v>
      </c>
      <c r="O21" s="10">
        <v>1.0692999999999977</v>
      </c>
    </row>
    <row r="22" spans="1:15" x14ac:dyDescent="0.25">
      <c r="A22" s="8">
        <v>46100</v>
      </c>
      <c r="C22">
        <v>106.64999999994774</v>
      </c>
      <c r="E22">
        <v>128.10000000000068</v>
      </c>
      <c r="F22">
        <v>108.79999999986161</v>
      </c>
      <c r="G22" s="10">
        <v>1.0879999999986161</v>
      </c>
      <c r="I22" s="10">
        <v>1.0489999999999784</v>
      </c>
      <c r="J22" s="10">
        <v>1.0674999999999857</v>
      </c>
      <c r="K22" s="10">
        <v>1.1554999999995572</v>
      </c>
      <c r="L22" s="10">
        <v>1.0999999999966026</v>
      </c>
      <c r="M22" s="10">
        <v>3.3599999999937551</v>
      </c>
      <c r="N22" s="10">
        <v>1.0689999999999893</v>
      </c>
      <c r="O22" s="10">
        <v>1.0664999999999885</v>
      </c>
    </row>
    <row r="23" spans="1:15" x14ac:dyDescent="0.25">
      <c r="A23" s="8">
        <v>46101</v>
      </c>
      <c r="C23">
        <v>107.49999999997884</v>
      </c>
      <c r="E23">
        <v>128.15000000000097</v>
      </c>
      <c r="F23">
        <v>109.19999999988559</v>
      </c>
      <c r="G23" s="10">
        <v>1.0919999999988559</v>
      </c>
      <c r="I23" s="10">
        <v>1.0399999999998564</v>
      </c>
      <c r="J23" s="10">
        <v>1.0739999999999919</v>
      </c>
      <c r="K23" s="10">
        <v>1.1624999999996561</v>
      </c>
      <c r="L23" s="10">
        <v>1.1049999999972795</v>
      </c>
      <c r="M23" s="10">
        <v>3.3689999999934948</v>
      </c>
      <c r="N23" s="10">
        <v>1.059999999999909</v>
      </c>
      <c r="O23" s="10">
        <v>1.0725000000000322</v>
      </c>
    </row>
    <row r="24" spans="1:15" x14ac:dyDescent="0.25">
      <c r="A24" s="8">
        <v>46104</v>
      </c>
      <c r="C24">
        <v>108.14999999998879</v>
      </c>
      <c r="E24">
        <v>128.49999999999977</v>
      </c>
      <c r="F24">
        <v>109.79999999990882</v>
      </c>
      <c r="G24" s="10">
        <v>1.0979999999990881</v>
      </c>
      <c r="I24" s="10">
        <v>1.0500000000000116</v>
      </c>
      <c r="J24" s="10">
        <v>1.0859999999999976</v>
      </c>
      <c r="K24" s="10">
        <v>1.1669999999997267</v>
      </c>
      <c r="L24" s="10">
        <v>1.1194999999985551</v>
      </c>
      <c r="M24" s="10">
        <v>3.4214999999995257</v>
      </c>
      <c r="N24" s="10">
        <v>1.0695000000000225</v>
      </c>
      <c r="O24" s="10">
        <v>1.0794999999999879</v>
      </c>
    </row>
    <row r="25" spans="1:15" x14ac:dyDescent="0.25">
      <c r="A25" s="8">
        <v>46106</v>
      </c>
      <c r="C25">
        <v>106.19999999997103</v>
      </c>
      <c r="E25">
        <v>128.65000000000057</v>
      </c>
      <c r="F25">
        <v>110.09999999992448</v>
      </c>
      <c r="G25" s="10">
        <v>1.1009999999992448</v>
      </c>
      <c r="I25" s="10">
        <v>1.065000000000027</v>
      </c>
      <c r="J25" s="10">
        <v>1.0759900000000158</v>
      </c>
      <c r="K25" s="10">
        <v>1.1669999999997076</v>
      </c>
      <c r="L25" s="10">
        <v>1.1089999999977271</v>
      </c>
      <c r="M25" s="10">
        <v>3.4099999999984676</v>
      </c>
      <c r="N25" s="10">
        <v>1.0674999999999715</v>
      </c>
      <c r="O25" s="10">
        <v>1.0744999999999723</v>
      </c>
    </row>
    <row r="26" spans="1:15" x14ac:dyDescent="0.25">
      <c r="A26" s="8">
        <v>46107</v>
      </c>
      <c r="C26">
        <v>106.64999999998584</v>
      </c>
      <c r="E26">
        <v>130.10000000000147</v>
      </c>
      <c r="F26">
        <v>110.99999999994621</v>
      </c>
      <c r="G26" s="10">
        <v>1.1099999999994621</v>
      </c>
      <c r="I26" s="10">
        <v>1.1574999999987605</v>
      </c>
      <c r="J26" s="10">
        <v>1.0848999999999733</v>
      </c>
      <c r="K26" s="10">
        <v>1.1799999999998176</v>
      </c>
      <c r="L26" s="10">
        <v>1.1399999999995172</v>
      </c>
      <c r="M26" s="10">
        <v>3.4399999999993502</v>
      </c>
      <c r="N26" s="10">
        <v>1.0800000000000392</v>
      </c>
      <c r="O26" s="10">
        <v>1.0950000000000129</v>
      </c>
    </row>
    <row r="27" spans="1:15" x14ac:dyDescent="0.25">
      <c r="A27" s="8">
        <v>46108</v>
      </c>
      <c r="C27">
        <v>107.59999999999323</v>
      </c>
      <c r="E27">
        <v>130.60000000000019</v>
      </c>
      <c r="F27">
        <v>111.44999999995258</v>
      </c>
      <c r="G27" s="10">
        <v>1.1144999999995258</v>
      </c>
      <c r="I27" s="10">
        <v>1.1310000000000431</v>
      </c>
      <c r="J27" s="10">
        <v>1.0909699999999889</v>
      </c>
      <c r="K27" s="10">
        <v>1.1819999999998494</v>
      </c>
      <c r="L27" s="10">
        <v>1.1299999999990507</v>
      </c>
      <c r="M27" s="10">
        <v>3.4849999999995833</v>
      </c>
      <c r="N27" s="10">
        <v>1.1049999999944762</v>
      </c>
      <c r="O27" s="10">
        <v>1.1019999999999992</v>
      </c>
    </row>
    <row r="28" spans="1:15" x14ac:dyDescent="0.25">
      <c r="A28" s="8">
        <v>46111</v>
      </c>
      <c r="C28">
        <v>107.44999999998809</v>
      </c>
      <c r="E28">
        <v>129.79999999999887</v>
      </c>
      <c r="F28">
        <v>110.34999999992765</v>
      </c>
      <c r="G28" s="10">
        <v>1.1034999999992765</v>
      </c>
      <c r="I28" s="10">
        <v>1.0800000000000565</v>
      </c>
      <c r="J28" s="10">
        <v>1.0865100000000272</v>
      </c>
      <c r="K28" s="10">
        <v>1.172999999999808</v>
      </c>
      <c r="L28" s="10">
        <v>1.1289999999990359</v>
      </c>
      <c r="M28" s="10">
        <v>3.4835000000001934</v>
      </c>
      <c r="N28" s="10">
        <v>1.1099999999976307</v>
      </c>
      <c r="O28" s="10">
        <v>1.0964999999986789</v>
      </c>
    </row>
    <row r="29" spans="1:15" x14ac:dyDescent="0.25">
      <c r="A29" s="8">
        <v>46112</v>
      </c>
      <c r="C29">
        <v>108.29999999999424</v>
      </c>
      <c r="E29">
        <v>130.300000000002</v>
      </c>
      <c r="F29">
        <v>110.29999999993643</v>
      </c>
      <c r="G29" s="10">
        <v>1.1029999999993643</v>
      </c>
      <c r="I29" s="10">
        <v>1.0690000000000301</v>
      </c>
      <c r="J29" s="10">
        <v>1.0915000000000348</v>
      </c>
      <c r="K29" s="10">
        <v>1.1744999999998007</v>
      </c>
      <c r="L29" s="10">
        <v>1.1339999999992059</v>
      </c>
      <c r="M29" s="10">
        <v>3.5300000000003466</v>
      </c>
      <c r="N29" s="10">
        <v>1.0950000000000111</v>
      </c>
      <c r="O29" s="10">
        <v>1.1023500000000188</v>
      </c>
    </row>
    <row r="30" spans="1:15" x14ac:dyDescent="0.25">
      <c r="A30" s="8">
        <v>46113</v>
      </c>
      <c r="C30">
        <v>109.10000000000069</v>
      </c>
      <c r="E30">
        <v>131.04999999999836</v>
      </c>
      <c r="F30">
        <v>110.7999999999457</v>
      </c>
      <c r="G30" s="10">
        <v>1.107999999999457</v>
      </c>
      <c r="I30" s="10">
        <v>1.0999999999998211</v>
      </c>
      <c r="J30" s="10">
        <v>1.0966900000000166</v>
      </c>
      <c r="K30" s="10">
        <v>1.178499999999858</v>
      </c>
      <c r="L30" s="10">
        <v>1.1294999999990731</v>
      </c>
      <c r="M30" s="10">
        <v>3.5690000000000417</v>
      </c>
      <c r="N30" s="10">
        <v>1.0980000000000232</v>
      </c>
      <c r="O30" s="10">
        <v>1.1049999999999873</v>
      </c>
    </row>
    <row r="31" spans="1:15" x14ac:dyDescent="0.25">
      <c r="A31" s="8">
        <v>46118</v>
      </c>
      <c r="C31">
        <v>109.74999999999665</v>
      </c>
      <c r="E31">
        <v>130.90000000000182</v>
      </c>
      <c r="F31">
        <v>110.89999999994644</v>
      </c>
      <c r="G31" s="10">
        <v>1.1089999999994644</v>
      </c>
      <c r="I31" s="10">
        <v>1.1150000000000633</v>
      </c>
      <c r="J31" s="10">
        <v>1.0989999999999649</v>
      </c>
      <c r="K31" s="10">
        <v>1.177499999999831</v>
      </c>
      <c r="L31" s="10">
        <v>1.1374999999993509</v>
      </c>
      <c r="M31" s="10">
        <v>3.6124999999959631</v>
      </c>
      <c r="N31" s="10">
        <v>1.1055000000000108</v>
      </c>
      <c r="O31" s="10">
        <v>1.1079999999999852</v>
      </c>
    </row>
    <row r="32" spans="1:15" x14ac:dyDescent="0.25">
      <c r="A32" s="8">
        <v>46119</v>
      </c>
      <c r="C32">
        <v>110.25000000000263</v>
      </c>
      <c r="E32">
        <v>130.79999999999762</v>
      </c>
      <c r="F32">
        <v>110.79999999994259</v>
      </c>
      <c r="G32" s="10">
        <v>1.1079999999994259</v>
      </c>
      <c r="I32" s="10">
        <v>1.09000000000007</v>
      </c>
      <c r="J32" s="10">
        <v>1.094800000000018</v>
      </c>
      <c r="K32" s="10">
        <v>1.1774999999997859</v>
      </c>
      <c r="L32" s="10">
        <v>1.1409999999994735</v>
      </c>
      <c r="M32" s="10">
        <v>3.5800000000000889</v>
      </c>
      <c r="N32" s="10">
        <v>1.126000000000011</v>
      </c>
      <c r="O32" s="10">
        <v>1.1080000000000125</v>
      </c>
    </row>
    <row r="33" spans="1:15" x14ac:dyDescent="0.25">
      <c r="A33" s="8">
        <v>46120</v>
      </c>
      <c r="C33">
        <v>109.79999999999788</v>
      </c>
      <c r="E33">
        <v>131.30000000000334</v>
      </c>
      <c r="F33">
        <v>110.89999999995108</v>
      </c>
      <c r="G33" s="10">
        <v>1.1089999999995108</v>
      </c>
      <c r="I33" s="10">
        <v>1.0999999999960908</v>
      </c>
      <c r="J33" s="10">
        <v>1.0964900000000091</v>
      </c>
      <c r="K33" s="10">
        <v>1.1819999999999284</v>
      </c>
      <c r="L33" s="10">
        <v>1.1319999999991799</v>
      </c>
      <c r="M33" s="10">
        <v>3.5600000000001022</v>
      </c>
      <c r="N33" s="10">
        <v>1.1300000000000012</v>
      </c>
      <c r="O33" s="10">
        <v>1.1107600000000233</v>
      </c>
    </row>
    <row r="34" spans="1:15" x14ac:dyDescent="0.25">
      <c r="A34" s="8">
        <v>46121</v>
      </c>
      <c r="C34">
        <v>109.44999999999936</v>
      </c>
      <c r="E34">
        <v>131.5000000000027</v>
      </c>
      <c r="F34">
        <v>111.59999999995959</v>
      </c>
      <c r="G34" s="10">
        <v>1.115999999999596</v>
      </c>
      <c r="I34" s="10">
        <v>1.1099999999904933</v>
      </c>
      <c r="J34" s="10">
        <v>1.0979999999999808</v>
      </c>
      <c r="K34" s="10">
        <v>1.1869999999998699</v>
      </c>
      <c r="L34" s="10">
        <v>1.1384999999992957</v>
      </c>
      <c r="M34" s="10">
        <v>3.5404999999998603</v>
      </c>
      <c r="N34" s="10">
        <v>1.1199999999956616</v>
      </c>
      <c r="O34" s="10">
        <v>1.1159999999999803</v>
      </c>
    </row>
    <row r="35" spans="1:15" x14ac:dyDescent="0.25">
      <c r="A35" s="8">
        <v>46122</v>
      </c>
      <c r="C35">
        <v>109.49999999999973</v>
      </c>
      <c r="E35">
        <v>131.79999999999504</v>
      </c>
      <c r="F35">
        <v>112.39999999997204</v>
      </c>
      <c r="G35" s="10">
        <v>1.1239999999997203</v>
      </c>
      <c r="I35" s="10">
        <v>1.1749999999987069</v>
      </c>
      <c r="J35" s="10">
        <v>1.1035999999999915</v>
      </c>
      <c r="K35" s="10">
        <v>1.1914999999999114</v>
      </c>
      <c r="L35" s="10">
        <v>1.137999999999294</v>
      </c>
      <c r="M35" s="10">
        <v>3.5589999999997133</v>
      </c>
      <c r="N35" s="10">
        <v>1.1280000000000576</v>
      </c>
      <c r="O35" s="10">
        <v>1.1175000000000006</v>
      </c>
    </row>
    <row r="36" spans="1:15" x14ac:dyDescent="0.25">
      <c r="A36" s="8">
        <v>46125</v>
      </c>
      <c r="C36">
        <v>109.54999999999784</v>
      </c>
      <c r="E36">
        <v>132.19999999999791</v>
      </c>
      <c r="F36">
        <v>112.94999999998629</v>
      </c>
      <c r="G36" s="10">
        <v>1.1294999999998629</v>
      </c>
      <c r="I36" s="10">
        <v>1.0959999999999455</v>
      </c>
      <c r="J36" s="10">
        <v>1.104999999999996</v>
      </c>
      <c r="K36" s="10">
        <v>1.1964999999999282</v>
      </c>
      <c r="L36" s="10">
        <v>1.1384999999994561</v>
      </c>
      <c r="M36" s="10">
        <v>3.5579999999997454</v>
      </c>
      <c r="N36" s="10">
        <v>1.128000000000029</v>
      </c>
      <c r="O36" s="10">
        <v>1.1199999999999819</v>
      </c>
    </row>
    <row r="37" spans="1:15" x14ac:dyDescent="0.25">
      <c r="A37" s="8">
        <v>46126</v>
      </c>
      <c r="C37">
        <v>109.30000000000398</v>
      </c>
      <c r="E37">
        <v>132.7500000000073</v>
      </c>
      <c r="F37">
        <v>113.29999999998589</v>
      </c>
      <c r="G37" s="10">
        <v>1.1329999999998588</v>
      </c>
      <c r="I37" s="10">
        <v>1.0949999999999471</v>
      </c>
      <c r="J37" s="10">
        <v>1.1105000000000222</v>
      </c>
      <c r="K37" s="10">
        <v>1.2059999999999242</v>
      </c>
      <c r="L37" s="10">
        <v>1.1429999999995082</v>
      </c>
      <c r="M37" s="10">
        <v>3.572500000000153</v>
      </c>
      <c r="N37" s="10">
        <v>1.1099999999999814</v>
      </c>
      <c r="O37" s="10">
        <v>1.1265000000000049</v>
      </c>
    </row>
    <row r="38" spans="1:15" x14ac:dyDescent="0.25">
      <c r="A38" s="8">
        <v>46127</v>
      </c>
      <c r="C38">
        <v>109.00000000000314</v>
      </c>
      <c r="E38">
        <v>133.99999999999946</v>
      </c>
      <c r="F38">
        <v>114.59999999998804</v>
      </c>
      <c r="G38" s="10">
        <v>1.1459999999998804</v>
      </c>
      <c r="I38" s="10">
        <v>1.120000000000039</v>
      </c>
      <c r="J38" s="10">
        <v>1.1136000000000235</v>
      </c>
      <c r="K38" s="10">
        <v>1.2144999999999788</v>
      </c>
      <c r="L38" s="10">
        <v>1.1609999999997871</v>
      </c>
      <c r="M38" s="10">
        <v>3.6049999999999924</v>
      </c>
      <c r="N38" s="10">
        <v>1.1399999999999366</v>
      </c>
      <c r="O38" s="10">
        <v>1.1313000000000115</v>
      </c>
    </row>
    <row r="39" spans="1:15" x14ac:dyDescent="0.25">
      <c r="A39" s="8">
        <v>46128</v>
      </c>
      <c r="C39">
        <v>109.24999999999714</v>
      </c>
      <c r="E39">
        <v>134.04999999999671</v>
      </c>
      <c r="F39">
        <v>114.74999999999494</v>
      </c>
      <c r="G39" s="10">
        <v>1.1474999999999493</v>
      </c>
      <c r="I39" s="10">
        <v>1.1020000000000651</v>
      </c>
      <c r="J39" s="10">
        <v>1.1198999999999806</v>
      </c>
      <c r="K39" s="10">
        <v>1.2180000000000542</v>
      </c>
      <c r="L39" s="10">
        <v>1.1649999999997898</v>
      </c>
      <c r="M39" s="10">
        <v>3.6260000000001482</v>
      </c>
      <c r="N39" s="10">
        <v>1.1199999999999937</v>
      </c>
      <c r="O39" s="10">
        <v>1.1339999999999877</v>
      </c>
    </row>
    <row r="40" spans="1:15" x14ac:dyDescent="0.25">
      <c r="A40" s="8">
        <v>46129</v>
      </c>
      <c r="C40">
        <v>110.19999999999675</v>
      </c>
      <c r="E40">
        <v>135.29999999999822</v>
      </c>
      <c r="F40">
        <v>115.74999999999098</v>
      </c>
      <c r="G40" s="10">
        <v>1.1574999999999098</v>
      </c>
      <c r="I40" s="10">
        <v>1.1169999999962306</v>
      </c>
      <c r="J40" s="10">
        <v>1.1299999999999839</v>
      </c>
      <c r="K40" s="10">
        <v>1.226499999999993</v>
      </c>
      <c r="L40" s="10">
        <v>1.1819999999999331</v>
      </c>
      <c r="M40" s="10">
        <v>3.6799999999879862</v>
      </c>
      <c r="N40" s="10">
        <v>1.1299999999948867</v>
      </c>
      <c r="O40" s="10">
        <v>1.1479999999999899</v>
      </c>
    </row>
    <row r="41" spans="1:15" x14ac:dyDescent="0.25">
      <c r="A41" s="8">
        <v>46132</v>
      </c>
      <c r="C41">
        <v>110.40000000000272</v>
      </c>
      <c r="E41">
        <v>136.04999999999694</v>
      </c>
      <c r="F41">
        <v>115.84999999999677</v>
      </c>
      <c r="G41" s="10">
        <v>1.1584999999999677</v>
      </c>
      <c r="I41" s="10">
        <v>1.116999999999146</v>
      </c>
      <c r="J41" s="10">
        <v>1.1294000000000219</v>
      </c>
      <c r="K41" s="10">
        <v>1.2284999999999924</v>
      </c>
      <c r="L41" s="10">
        <v>1.1780000000000383</v>
      </c>
      <c r="M41" s="10">
        <v>3.6700000000001189</v>
      </c>
      <c r="N41" s="10">
        <v>1.1349999999997946</v>
      </c>
      <c r="O41" s="10">
        <v>1.1478999999999802</v>
      </c>
    </row>
    <row r="42" spans="1:15" x14ac:dyDescent="0.25">
      <c r="A42" s="8">
        <v>46133</v>
      </c>
      <c r="C42">
        <v>110.50000000000686</v>
      </c>
      <c r="E42">
        <v>135.69999999999905</v>
      </c>
      <c r="F42">
        <v>116.09999999999697</v>
      </c>
      <c r="G42" s="10">
        <v>1.1609999999999696</v>
      </c>
      <c r="I42" s="10">
        <v>1.1159999999922972</v>
      </c>
      <c r="J42" s="10">
        <v>1.125499999999974</v>
      </c>
      <c r="K42" s="10">
        <v>1.2284999999999893</v>
      </c>
      <c r="L42" s="10">
        <v>1.1794999999999423</v>
      </c>
      <c r="M42" s="10">
        <v>3.6600000000000579</v>
      </c>
      <c r="N42" s="10">
        <v>1.1374999999934998</v>
      </c>
      <c r="O42" s="10">
        <v>1.1485000000000216</v>
      </c>
    </row>
    <row r="43" spans="1:15" x14ac:dyDescent="0.25">
      <c r="A43" s="8">
        <v>46134</v>
      </c>
      <c r="C43">
        <v>110.79999999999932</v>
      </c>
      <c r="E43">
        <v>135.99999999999736</v>
      </c>
      <c r="F43">
        <v>115.94999999999833</v>
      </c>
      <c r="G43" s="10">
        <v>1.1594999999999833</v>
      </c>
      <c r="I43" s="10">
        <v>1.110000000000021</v>
      </c>
      <c r="J43" s="10">
        <v>1.128399999999997</v>
      </c>
      <c r="K43" s="10">
        <v>1.2300000000000901</v>
      </c>
      <c r="L43" s="10">
        <v>1.1824999999998469</v>
      </c>
      <c r="M43" s="10">
        <v>3.66749999999996</v>
      </c>
      <c r="N43" s="10">
        <v>1.1299999999934778</v>
      </c>
      <c r="O43" s="10">
        <v>1.1477499999999956</v>
      </c>
    </row>
    <row r="44" spans="1:15" x14ac:dyDescent="0.25">
      <c r="A44" s="8">
        <v>46135</v>
      </c>
      <c r="C44">
        <v>110.69999999999899</v>
      </c>
      <c r="E44">
        <v>135.29999999999785</v>
      </c>
      <c r="F44">
        <v>115.64999999999405</v>
      </c>
      <c r="G44" s="10">
        <v>1.1564999999999406</v>
      </c>
      <c r="I44" s="10">
        <v>1.1109999999999829</v>
      </c>
      <c r="J44" s="10">
        <v>1.1240000000000174</v>
      </c>
      <c r="K44" s="10">
        <v>1.2254999999999314</v>
      </c>
      <c r="L44" s="10">
        <v>1.1749999999999348</v>
      </c>
      <c r="M44" s="10">
        <v>3.643499999999833</v>
      </c>
      <c r="N44" s="10">
        <v>1.1299999999999444</v>
      </c>
      <c r="O44" s="10">
        <v>1.137999999999977</v>
      </c>
    </row>
    <row r="45" spans="1:15" x14ac:dyDescent="0.25">
      <c r="A45" s="8">
        <v>46136</v>
      </c>
      <c r="C45">
        <v>110.29999999999556</v>
      </c>
      <c r="E45">
        <v>135.25000000000549</v>
      </c>
      <c r="F45">
        <v>115.49999999999206</v>
      </c>
      <c r="G45" s="10">
        <v>1.1549999999999205</v>
      </c>
      <c r="I45" s="10">
        <v>1.1125000000000396</v>
      </c>
      <c r="J45" s="10">
        <v>1.1254999999999793</v>
      </c>
      <c r="K45" s="10">
        <v>1.2264999999999966</v>
      </c>
      <c r="L45" s="10">
        <v>1.1654999999998201</v>
      </c>
      <c r="M45" s="10">
        <v>3.6394999999999591</v>
      </c>
      <c r="N45" s="10">
        <v>1.128999999999994</v>
      </c>
      <c r="O45" s="10">
        <v>1.1409999999999791</v>
      </c>
    </row>
    <row r="46" spans="1:15" x14ac:dyDescent="0.25">
      <c r="A46" s="8">
        <v>46139</v>
      </c>
      <c r="C46">
        <v>110.4999999999927</v>
      </c>
      <c r="E46">
        <v>134.50000000000492</v>
      </c>
      <c r="F46">
        <v>115.2499999999949</v>
      </c>
      <c r="G46" s="10">
        <v>1.152499999999949</v>
      </c>
      <c r="I46" s="10">
        <v>1.109500000000043</v>
      </c>
      <c r="J46" s="10">
        <v>1.1253900000000177</v>
      </c>
      <c r="K46" s="10">
        <v>1.2215000000000216</v>
      </c>
      <c r="L46" s="10">
        <v>1.1649999999999527</v>
      </c>
      <c r="M46" s="10">
        <v>3.6289999999999232</v>
      </c>
      <c r="N46" s="10">
        <v>1.1300000000000365</v>
      </c>
      <c r="O46" s="10">
        <v>1.1399599999999728</v>
      </c>
    </row>
    <row r="47" spans="1:15" x14ac:dyDescent="0.25">
      <c r="A47" s="8">
        <v>46140</v>
      </c>
      <c r="C47">
        <v>110.29999999999545</v>
      </c>
      <c r="E47">
        <v>135.00000000000173</v>
      </c>
      <c r="F47">
        <v>115.44999999999435</v>
      </c>
      <c r="G47" s="10">
        <v>1.1544999999999435</v>
      </c>
      <c r="I47" s="10">
        <v>1.1129999999999858</v>
      </c>
      <c r="J47" s="10">
        <v>1.1280000000000185</v>
      </c>
      <c r="K47" s="10">
        <v>1.2250000000000234</v>
      </c>
      <c r="L47" s="10">
        <v>1.1899999999998958</v>
      </c>
      <c r="M47" s="10">
        <v>3.6325000000001535</v>
      </c>
      <c r="N47" s="10">
        <v>1.132000000000049</v>
      </c>
      <c r="O47" s="10">
        <v>1.1374999999999995</v>
      </c>
    </row>
    <row r="48" spans="1:15" x14ac:dyDescent="0.25">
      <c r="A48" s="8">
        <v>46141</v>
      </c>
      <c r="C48">
        <v>110.4000000000002</v>
      </c>
      <c r="E48">
        <v>134.39000000000016</v>
      </c>
      <c r="F48">
        <v>115.34999999999246</v>
      </c>
      <c r="G48" s="10">
        <v>1.1534999999999247</v>
      </c>
      <c r="I48" s="10">
        <v>1.1289999999945186</v>
      </c>
      <c r="J48" s="10">
        <v>1.1274999999999979</v>
      </c>
      <c r="K48" s="10">
        <v>1.2154999999999605</v>
      </c>
      <c r="L48" s="10">
        <v>1.1704999999999357</v>
      </c>
      <c r="M48" s="10">
        <v>3.5849999999999933</v>
      </c>
      <c r="N48" s="10">
        <v>1.1289999999999845</v>
      </c>
      <c r="O48" s="10">
        <v>1.1289999999999949</v>
      </c>
    </row>
    <row r="49" spans="1:15" x14ac:dyDescent="0.25">
      <c r="A49" s="8">
        <v>46142</v>
      </c>
      <c r="C49">
        <v>110.99999999999972</v>
      </c>
      <c r="E49">
        <v>134.99999999999784</v>
      </c>
      <c r="F49">
        <v>116.39999999999311</v>
      </c>
      <c r="G49" s="10">
        <v>1.1639999999999311</v>
      </c>
      <c r="I49" s="10">
        <v>1.1249999999999212</v>
      </c>
      <c r="J49" s="10">
        <v>1.133000000000002</v>
      </c>
      <c r="K49" s="10">
        <v>1.2245000000000259</v>
      </c>
      <c r="L49" s="10">
        <v>1.195000000000052</v>
      </c>
      <c r="M49" s="10">
        <v>3.5909999999996751</v>
      </c>
      <c r="N49" s="10">
        <v>1.1345000000000405</v>
      </c>
      <c r="O49" s="10">
        <v>1.1309999999999985</v>
      </c>
    </row>
    <row r="50" spans="1:15" x14ac:dyDescent="0.25">
      <c r="A50" s="8">
        <v>46146</v>
      </c>
      <c r="C50">
        <v>110.44999999999776</v>
      </c>
      <c r="E50">
        <v>135.28999999999888</v>
      </c>
      <c r="F50">
        <v>115.94999999999341</v>
      </c>
      <c r="G50" s="10">
        <v>1.159499999999934</v>
      </c>
      <c r="I50" s="10">
        <v>1.1250000000000029</v>
      </c>
      <c r="J50" s="10">
        <v>1.1294999999999791</v>
      </c>
      <c r="K50" s="10">
        <v>1.2262000000000133</v>
      </c>
      <c r="L50" s="10">
        <v>1.1890000000000018</v>
      </c>
      <c r="M50" s="10">
        <v>3.6185000000001999</v>
      </c>
      <c r="N50" s="10">
        <v>1.1350000000000475</v>
      </c>
      <c r="O50" s="10">
        <v>1.1348999999999807</v>
      </c>
    </row>
    <row r="51" spans="1:15" x14ac:dyDescent="0.25">
      <c r="A51" s="8">
        <v>46147</v>
      </c>
      <c r="C51">
        <v>110.7999999999989</v>
      </c>
      <c r="E51">
        <v>135.14000000000161</v>
      </c>
      <c r="F51">
        <v>115.40999999998883</v>
      </c>
      <c r="G51" s="10">
        <v>1.1540999999998882</v>
      </c>
      <c r="I51" s="10">
        <v>1.1104999999999505</v>
      </c>
      <c r="J51" s="10">
        <v>1.1270100000000043</v>
      </c>
      <c r="K51" s="10">
        <v>1.2269999999999843</v>
      </c>
      <c r="L51" s="10">
        <v>1.1834999999999101</v>
      </c>
      <c r="M51" s="10">
        <v>3.6385000000000192</v>
      </c>
      <c r="N51" s="10">
        <v>1.1409999999999991</v>
      </c>
      <c r="O51" s="10">
        <v>1.1387999999999905</v>
      </c>
    </row>
    <row r="52" spans="1:15" x14ac:dyDescent="0.25">
      <c r="A52" s="8">
        <v>46148</v>
      </c>
      <c r="C52">
        <v>110.90000000000208</v>
      </c>
      <c r="E52">
        <v>135.70000000000155</v>
      </c>
      <c r="F52">
        <v>115.79999999999897</v>
      </c>
      <c r="G52" s="10">
        <v>1.1579999999999897</v>
      </c>
      <c r="I52" s="10">
        <v>1.1124999999999903</v>
      </c>
      <c r="J52" s="10">
        <v>1.1375000000000077</v>
      </c>
      <c r="K52" s="10">
        <v>1.2323999999999626</v>
      </c>
      <c r="L52" s="10">
        <v>1.1829999999998806</v>
      </c>
      <c r="M52" s="10">
        <v>3.6814999999997435</v>
      </c>
      <c r="N52" s="10">
        <v>1.1385000000000418</v>
      </c>
      <c r="O52" s="10">
        <v>1.1409999999999989</v>
      </c>
    </row>
    <row r="53" spans="1:15" x14ac:dyDescent="0.25">
      <c r="A53" s="8">
        <v>46149</v>
      </c>
      <c r="C53">
        <v>111.15000000000531</v>
      </c>
      <c r="E53">
        <v>136.19999999999476</v>
      </c>
      <c r="F53">
        <v>116.4999999999971</v>
      </c>
      <c r="G53" s="10">
        <v>1.1649999999999709</v>
      </c>
      <c r="I53" s="10">
        <v>1.1150000000000697</v>
      </c>
      <c r="J53" s="10">
        <v>1.1385000000000032</v>
      </c>
      <c r="K53" s="10">
        <v>1.2345000000000192</v>
      </c>
      <c r="L53" s="10">
        <v>1.1814999999999736</v>
      </c>
      <c r="M53" s="10">
        <v>3.6824999999999299</v>
      </c>
      <c r="N53" s="10">
        <v>1.1445000000000323</v>
      </c>
      <c r="O53" s="10">
        <v>1.1470099999999774</v>
      </c>
    </row>
    <row r="54" spans="1:15" x14ac:dyDescent="0.25">
      <c r="A54" s="8">
        <v>46150</v>
      </c>
      <c r="C54">
        <v>111.50000000000003</v>
      </c>
      <c r="E54">
        <v>136.59999999999917</v>
      </c>
      <c r="F54">
        <v>116.89999999999712</v>
      </c>
      <c r="G54" s="10">
        <v>1.1689999999999712</v>
      </c>
      <c r="I54" s="10">
        <v>1.1230000000000686</v>
      </c>
      <c r="J54" s="10">
        <v>1.1410000000000238</v>
      </c>
      <c r="K54" s="10">
        <v>1.2383899999999399</v>
      </c>
      <c r="L54" s="10">
        <v>1.2050000000000294</v>
      </c>
      <c r="M54" s="10">
        <v>3.6849999999998762</v>
      </c>
      <c r="N54" s="10">
        <v>1.1524999999999681</v>
      </c>
      <c r="O54" s="10">
        <v>1.1539999999999726</v>
      </c>
    </row>
    <row r="55" spans="1:15" x14ac:dyDescent="0.25">
      <c r="A55" s="8">
        <v>46153</v>
      </c>
      <c r="C55">
        <v>111.80000000000103</v>
      </c>
      <c r="E55">
        <v>137.1300000000023</v>
      </c>
      <c r="F55">
        <v>117.2799999999897</v>
      </c>
      <c r="G55" s="10">
        <v>1.172799999999897</v>
      </c>
      <c r="I55" s="10">
        <v>1.1349999999999283</v>
      </c>
      <c r="J55" s="10">
        <v>1.1460000000000159</v>
      </c>
      <c r="K55" s="10">
        <v>1.2444999999999686</v>
      </c>
      <c r="L55" s="10">
        <v>1.19399999999994</v>
      </c>
      <c r="M55" s="10">
        <v>3.7349999999999941</v>
      </c>
      <c r="N55" s="10">
        <v>1.1645000000000527</v>
      </c>
      <c r="O55" s="10">
        <v>1.1534999999999949</v>
      </c>
    </row>
    <row r="56" spans="1:15" x14ac:dyDescent="0.25">
      <c r="A56" s="8">
        <v>46154</v>
      </c>
      <c r="C56">
        <v>112.20000000000037</v>
      </c>
      <c r="E56">
        <v>137.11000000000124</v>
      </c>
      <c r="F56">
        <v>117.19999999999644</v>
      </c>
      <c r="G56" s="10">
        <v>1.1719999999999644</v>
      </c>
      <c r="I56" s="10">
        <v>1.1449999999956426</v>
      </c>
      <c r="J56" s="10">
        <v>1.143049999999999</v>
      </c>
      <c r="K56" s="10">
        <v>1.244400000000033</v>
      </c>
      <c r="L56" s="10">
        <v>1.1960000000000077</v>
      </c>
      <c r="M56" s="10">
        <v>3.7299999999998055</v>
      </c>
      <c r="N56" s="10">
        <v>1.1645000000000121</v>
      </c>
      <c r="O56" s="10">
        <v>1.1540000000000215</v>
      </c>
    </row>
    <row r="57" spans="1:15" x14ac:dyDescent="0.25">
      <c r="A57" s="8">
        <v>46155</v>
      </c>
      <c r="C57">
        <v>112.15000000000126</v>
      </c>
      <c r="E57">
        <v>137.4979999999918</v>
      </c>
      <c r="F57">
        <v>117.49999999999643</v>
      </c>
      <c r="G57" s="10">
        <v>1.1749999999999643</v>
      </c>
      <c r="I57" s="10">
        <v>1.1395000000000084</v>
      </c>
      <c r="J57" s="10">
        <v>1.1475000000000135</v>
      </c>
      <c r="K57" s="10">
        <v>1.2449999999999917</v>
      </c>
      <c r="L57" s="10">
        <v>1.1940000000000046</v>
      </c>
      <c r="M57" s="10">
        <v>3.7284999999997122</v>
      </c>
      <c r="N57" s="10">
        <v>1.1644999999999777</v>
      </c>
      <c r="O57" s="10">
        <v>1.1549999999999958</v>
      </c>
    </row>
    <row r="58" spans="1:15" x14ac:dyDescent="0.25">
      <c r="A58" s="8">
        <v>46156</v>
      </c>
      <c r="C58">
        <v>112.60000000000352</v>
      </c>
      <c r="E58">
        <v>138.00000000000119</v>
      </c>
      <c r="F58">
        <v>118.48000000000083</v>
      </c>
      <c r="G58" s="10">
        <v>1.1848000000000083</v>
      </c>
      <c r="I58" s="10">
        <v>1.135999999999932</v>
      </c>
      <c r="J58" s="10">
        <v>1.1519999999999697</v>
      </c>
      <c r="K58" s="10">
        <v>1.2516100000000099</v>
      </c>
      <c r="L58" s="10">
        <v>1.209999999999964</v>
      </c>
      <c r="M58" s="10">
        <v>3.7360000000002209</v>
      </c>
      <c r="N58" s="10">
        <v>1.1599999999999886</v>
      </c>
      <c r="O58" s="10">
        <v>1.1555000000000009</v>
      </c>
    </row>
    <row r="59" spans="1:15" x14ac:dyDescent="0.25">
      <c r="A59" s="8">
        <v>46157</v>
      </c>
      <c r="C59">
        <v>112.6499999999979</v>
      </c>
      <c r="E59">
        <v>138.10000000000443</v>
      </c>
      <c r="F59">
        <v>118.64999999999289</v>
      </c>
      <c r="G59" s="10">
        <v>1.1864999999999288</v>
      </c>
      <c r="I59" s="10">
        <v>1.1350000000000104</v>
      </c>
      <c r="J59" s="10">
        <v>1.1564899999999947</v>
      </c>
      <c r="K59" s="10">
        <v>1.2545000000000366</v>
      </c>
      <c r="L59" s="10">
        <v>1.2139999999999558</v>
      </c>
      <c r="M59" s="10">
        <v>3.7454999999997067</v>
      </c>
      <c r="N59" s="10">
        <v>1.1609999999994896</v>
      </c>
      <c r="O59" s="10">
        <v>1.1584999999999721</v>
      </c>
    </row>
    <row r="60" spans="1:15" x14ac:dyDescent="0.25">
      <c r="A60" s="8">
        <v>46160</v>
      </c>
      <c r="C60">
        <v>112.84999999999911</v>
      </c>
      <c r="E60">
        <v>138.4000000000035</v>
      </c>
      <c r="F60">
        <v>118.4499999999957</v>
      </c>
      <c r="G60" s="10">
        <v>1.184499999999957</v>
      </c>
      <c r="I60" s="10">
        <v>1.1325000000000338</v>
      </c>
      <c r="J60" s="10">
        <v>1.1559800000000222</v>
      </c>
      <c r="K60" s="10">
        <v>1.2525000000000128</v>
      </c>
      <c r="L60" s="10">
        <v>1.2149999999999803</v>
      </c>
      <c r="M60" s="10">
        <v>3.7479999999999656</v>
      </c>
      <c r="N60" s="10">
        <v>1.1600000000000166</v>
      </c>
      <c r="O60" s="10">
        <v>1.1604000000000068</v>
      </c>
    </row>
    <row r="61" spans="1:15" x14ac:dyDescent="0.25">
      <c r="A61" s="8">
        <v>46161</v>
      </c>
      <c r="C61">
        <v>112.95000000000435</v>
      </c>
      <c r="E61">
        <v>138.41199999999841</v>
      </c>
      <c r="F61">
        <v>118.54999999999771</v>
      </c>
      <c r="G61" s="10">
        <v>1.1854999999999771</v>
      </c>
      <c r="I61" s="10">
        <v>1.1349999999999771</v>
      </c>
      <c r="J61" s="10">
        <v>1.1531000000000042</v>
      </c>
      <c r="K61" s="10">
        <v>1.2519999999999556</v>
      </c>
      <c r="L61" s="10">
        <v>1.2174899999999971</v>
      </c>
      <c r="M61" s="10">
        <v>3.7389999999999355</v>
      </c>
      <c r="N61" s="10">
        <v>1.1619999999999262</v>
      </c>
      <c r="O61" s="10">
        <v>1.164499999999993</v>
      </c>
    </row>
    <row r="62" spans="1:15" x14ac:dyDescent="0.25">
      <c r="A62" s="8">
        <v>46162</v>
      </c>
      <c r="C62">
        <v>113.44999999999901</v>
      </c>
      <c r="E62">
        <v>138.47000000000398</v>
      </c>
      <c r="F62">
        <v>118.49999999999639</v>
      </c>
      <c r="G62" s="10">
        <v>1.1849999999999639</v>
      </c>
      <c r="I62" s="10">
        <v>1.1349999999999849</v>
      </c>
      <c r="J62" s="10">
        <v>1.1544999999999981</v>
      </c>
      <c r="K62" s="10">
        <v>1.2520000000000089</v>
      </c>
      <c r="L62" s="10">
        <v>1.2200000000000226</v>
      </c>
      <c r="M62" s="10">
        <v>3.7240000000002205</v>
      </c>
      <c r="N62" s="10">
        <v>1.163000000000058</v>
      </c>
      <c r="O62" s="10">
        <v>1.1655000000000131</v>
      </c>
    </row>
    <row r="63" spans="1:15" x14ac:dyDescent="0.25">
      <c r="A63" s="8">
        <v>46163</v>
      </c>
      <c r="C63">
        <v>113.99999999999595</v>
      </c>
      <c r="E63">
        <v>138.61800000000457</v>
      </c>
      <c r="F63">
        <v>118.14999999999787</v>
      </c>
      <c r="G63" s="10">
        <v>1.1814999999999787</v>
      </c>
      <c r="I63" s="10">
        <v>1.1349999999999929</v>
      </c>
      <c r="J63" s="10">
        <v>1.1572000000000076</v>
      </c>
      <c r="K63" s="10">
        <v>1.252900000000003</v>
      </c>
      <c r="L63" s="10">
        <v>1.2225000000000454</v>
      </c>
      <c r="M63" s="10">
        <v>3.7234999999998486</v>
      </c>
      <c r="N63" s="10">
        <v>1.154999999999996</v>
      </c>
      <c r="O63" s="10">
        <v>1.1669999999999983</v>
      </c>
    </row>
    <row r="64" spans="1:15" x14ac:dyDescent="0.25">
      <c r="A64" s="8">
        <v>46164</v>
      </c>
      <c r="C64">
        <v>114.35000000000058</v>
      </c>
      <c r="E64">
        <v>138.94999999999541</v>
      </c>
      <c r="F64">
        <v>118.7989999999967</v>
      </c>
      <c r="G64" s="10">
        <v>1.187989999999967</v>
      </c>
      <c r="I64" s="10">
        <v>1.1360000000000046</v>
      </c>
      <c r="J64" s="10">
        <v>1.1585000000000016</v>
      </c>
      <c r="K64" s="10">
        <v>1.2575000000000129</v>
      </c>
      <c r="L64" s="10">
        <v>1.2184999999999764</v>
      </c>
      <c r="M64" s="10">
        <v>3.7205000000000528</v>
      </c>
      <c r="N64" s="10">
        <v>1.1604999999999952</v>
      </c>
      <c r="O64" s="10">
        <v>1.1699999999999939</v>
      </c>
    </row>
    <row r="65" spans="1:15" x14ac:dyDescent="0.25">
      <c r="A65" s="8">
        <v>46168</v>
      </c>
      <c r="C65">
        <v>114.50000000000176</v>
      </c>
      <c r="E65">
        <v>139.18599999999876</v>
      </c>
      <c r="F65">
        <v>118.94999999999614</v>
      </c>
      <c r="G65" s="10">
        <v>1.1894999999999614</v>
      </c>
      <c r="I65" s="10">
        <v>1.1370000000000622</v>
      </c>
      <c r="J65" s="10">
        <v>1.1595000000000015</v>
      </c>
      <c r="K65" s="10">
        <v>1.2599999999999236</v>
      </c>
      <c r="L65" s="10">
        <v>1.2199999999999536</v>
      </c>
      <c r="M65" s="10">
        <v>3.7319999999998923</v>
      </c>
      <c r="N65" s="10">
        <v>1.164000000000021</v>
      </c>
      <c r="O65" s="10">
        <v>1.1714999999999955</v>
      </c>
    </row>
    <row r="66" spans="1:15" x14ac:dyDescent="0.25">
      <c r="A66" s="8">
        <v>46169</v>
      </c>
      <c r="C66">
        <v>114.6000000000034</v>
      </c>
      <c r="E66">
        <v>138.88000000000235</v>
      </c>
      <c r="F66">
        <v>119.19999999999833</v>
      </c>
      <c r="G66" s="10">
        <v>1.1919999999999833</v>
      </c>
      <c r="I66" s="10">
        <v>1.1370000000000469</v>
      </c>
      <c r="J66" s="10">
        <v>1.1571299999999836</v>
      </c>
      <c r="K66" s="10">
        <v>1.2605000000000148</v>
      </c>
      <c r="L66" s="10">
        <v>1.2273000000000012</v>
      </c>
      <c r="M66" s="10">
        <v>3.7365000000002211</v>
      </c>
      <c r="N66" s="10">
        <v>1.1535000000000286</v>
      </c>
      <c r="O66" s="10">
        <v>1.172499999999995</v>
      </c>
    </row>
    <row r="67" spans="1:15" x14ac:dyDescent="0.25">
      <c r="A67" s="8">
        <v>46170</v>
      </c>
      <c r="C67">
        <v>114.55000000000256</v>
      </c>
      <c r="E67">
        <v>139.53999999999965</v>
      </c>
      <c r="F67">
        <v>119.1899999999993</v>
      </c>
      <c r="G67" s="10">
        <v>1.1918999999999931</v>
      </c>
      <c r="I67" s="10">
        <v>1.1399999999999935</v>
      </c>
      <c r="J67" s="10">
        <v>1.1600000000000212</v>
      </c>
      <c r="K67" s="10">
        <v>1.2629999999999006</v>
      </c>
      <c r="L67" s="10">
        <v>1.2263100000000533</v>
      </c>
      <c r="M67" s="10">
        <v>3.7380000000000906</v>
      </c>
      <c r="N67" s="10">
        <v>1.1595000000000197</v>
      </c>
      <c r="O67" s="10">
        <v>1.172950000000003</v>
      </c>
    </row>
    <row r="68" spans="1:15" x14ac:dyDescent="0.25">
      <c r="A68" s="8">
        <v>46171</v>
      </c>
      <c r="C68">
        <v>114.8499999999985</v>
      </c>
      <c r="E68">
        <v>139.8499999999988</v>
      </c>
      <c r="F68">
        <v>119.89000000000529</v>
      </c>
      <c r="G68" s="10">
        <v>1.1989000000000529</v>
      </c>
      <c r="I68" s="10">
        <v>1.1434999999999684</v>
      </c>
      <c r="J68" s="10">
        <v>1.1654899999999877</v>
      </c>
      <c r="K68" s="10">
        <v>1.2688999999999759</v>
      </c>
      <c r="L68" s="10">
        <v>1.2289999999999006</v>
      </c>
      <c r="M68" s="10">
        <v>3.7754999999998859</v>
      </c>
      <c r="N68" s="10">
        <v>1.1699999999999424</v>
      </c>
      <c r="O68" s="10">
        <v>1.176999999999998</v>
      </c>
    </row>
    <row r="69" spans="1:15" x14ac:dyDescent="0.25">
      <c r="A69" s="8">
        <v>46174</v>
      </c>
      <c r="C69">
        <v>115.09999999999874</v>
      </c>
      <c r="E69">
        <v>139.99000000000018</v>
      </c>
      <c r="F69">
        <v>119.83999999999679</v>
      </c>
      <c r="G69" s="10">
        <v>1.1983999999999679</v>
      </c>
      <c r="I69" s="10">
        <v>1.1460000000000592</v>
      </c>
      <c r="J69" s="10">
        <v>1.1649999999999878</v>
      </c>
      <c r="K69" s="10">
        <v>1.2689999999999975</v>
      </c>
      <c r="L69" s="10">
        <v>1.2309999999999655</v>
      </c>
      <c r="M69" s="10">
        <v>3.8094999999998844</v>
      </c>
      <c r="N69" s="10">
        <v>1.1680000000000126</v>
      </c>
      <c r="O69" s="10">
        <v>1.1780000000000241</v>
      </c>
    </row>
    <row r="70" spans="1:15" x14ac:dyDescent="0.25">
      <c r="A70" s="8">
        <v>46175</v>
      </c>
      <c r="C70">
        <v>115.10000000000218</v>
      </c>
      <c r="E70">
        <v>139.74999999999656</v>
      </c>
      <c r="F70">
        <v>119.60500000000064</v>
      </c>
      <c r="G70" s="10">
        <v>1.1960500000000065</v>
      </c>
      <c r="I70" s="10">
        <v>1.1509999999999945</v>
      </c>
      <c r="J70" s="10">
        <v>1.168000000000009</v>
      </c>
      <c r="K70" s="10">
        <v>1.2655500000000262</v>
      </c>
      <c r="L70" s="10">
        <v>1.232999999999971</v>
      </c>
      <c r="M70" s="10">
        <v>3.7665000000001614</v>
      </c>
      <c r="N70" s="10">
        <v>1.1690000000000798</v>
      </c>
      <c r="O70" s="10">
        <v>1.1781500000000222</v>
      </c>
    </row>
    <row r="71" spans="1:15" x14ac:dyDescent="0.25">
      <c r="A71" s="8">
        <v>46176</v>
      </c>
      <c r="C71">
        <v>114.84999999999847</v>
      </c>
      <c r="E71">
        <v>138.8509999999967</v>
      </c>
      <c r="F71">
        <v>119.18000000000302</v>
      </c>
      <c r="G71" s="10">
        <v>1.1918000000000302</v>
      </c>
      <c r="I71" s="10">
        <v>1.1495000000000184</v>
      </c>
      <c r="J71" s="10">
        <v>1.1629999999999938</v>
      </c>
      <c r="K71" s="10">
        <v>1.2624900000000039</v>
      </c>
      <c r="L71" s="10">
        <v>1.232889999999998</v>
      </c>
      <c r="M71" s="10">
        <v>3.7630000000000341</v>
      </c>
      <c r="N71" s="10">
        <v>1.1674999999999773</v>
      </c>
      <c r="O71" s="10">
        <v>1.1769999999999967</v>
      </c>
    </row>
    <row r="72" spans="1:15" x14ac:dyDescent="0.25">
      <c r="A72" s="8">
        <v>46177</v>
      </c>
      <c r="C72">
        <v>114.79999999999721</v>
      </c>
      <c r="E72">
        <v>139.34999999999917</v>
      </c>
      <c r="F72">
        <v>119.5000000000032</v>
      </c>
      <c r="G72" s="10">
        <v>1.195000000000032</v>
      </c>
      <c r="I72" s="10">
        <v>1.1510000000000309</v>
      </c>
      <c r="J72" s="10">
        <v>1.1669999999999974</v>
      </c>
      <c r="K72" s="10">
        <v>1.2662000000000624</v>
      </c>
      <c r="L72" s="10">
        <v>1.2265000000000104</v>
      </c>
      <c r="M72" s="10">
        <v>3.8200000000000416</v>
      </c>
      <c r="N72" s="10">
        <v>1.1709999999999228</v>
      </c>
      <c r="O72" s="10">
        <v>1.1776000000000135</v>
      </c>
    </row>
    <row r="73" spans="1:15" x14ac:dyDescent="0.25">
      <c r="A73" s="8">
        <v>46178</v>
      </c>
      <c r="C73">
        <v>114.99999999999977</v>
      </c>
      <c r="E73">
        <v>139.60000000000204</v>
      </c>
      <c r="F73">
        <v>119.74999999999282</v>
      </c>
      <c r="G73" s="10">
        <v>1.1974999999999283</v>
      </c>
      <c r="I73" s="10">
        <v>1.1530000000000376</v>
      </c>
      <c r="J73" s="10">
        <v>1.1695499999999952</v>
      </c>
      <c r="K73" s="10">
        <v>1.2672000000000052</v>
      </c>
      <c r="L73" s="10">
        <v>1.2299999999999534</v>
      </c>
      <c r="M73" s="10">
        <v>3.7960000000003333</v>
      </c>
      <c r="N73" s="10">
        <v>1.1675000000000129</v>
      </c>
      <c r="O73" s="10">
        <v>1.1820000000000008</v>
      </c>
    </row>
    <row r="74" spans="1:15" x14ac:dyDescent="0.25">
      <c r="A74" s="8">
        <v>46181</v>
      </c>
      <c r="C74">
        <v>115.10000000000066</v>
      </c>
      <c r="E74">
        <v>139.64999999999506</v>
      </c>
      <c r="F74">
        <v>119.90000000000431</v>
      </c>
      <c r="G74" s="10">
        <v>1.1990000000000431</v>
      </c>
      <c r="I74" s="10">
        <v>1.1574999999999891</v>
      </c>
      <c r="J74" s="10">
        <v>1.1724999999999737</v>
      </c>
      <c r="K74" s="10">
        <v>1.2705000000000379</v>
      </c>
      <c r="L74" s="10">
        <v>1.2350000000000501</v>
      </c>
      <c r="M74" s="10">
        <v>3.7875000000000409</v>
      </c>
      <c r="N74" s="10">
        <v>1.1714999999999707</v>
      </c>
      <c r="O74" s="10">
        <v>1.1833999999999674</v>
      </c>
    </row>
    <row r="75" spans="1:15" x14ac:dyDescent="0.25">
      <c r="A75" s="8">
        <v>46182</v>
      </c>
      <c r="C75">
        <v>115.09999999999559</v>
      </c>
      <c r="E75">
        <v>140.34899999999513</v>
      </c>
      <c r="F75">
        <v>120.35000000000215</v>
      </c>
      <c r="G75" s="10">
        <v>1.2035000000000216</v>
      </c>
      <c r="I75" s="10">
        <v>1.160000000000077</v>
      </c>
      <c r="J75" s="10">
        <v>1.1725000000000083</v>
      </c>
      <c r="K75" s="10">
        <v>1.2738799999999886</v>
      </c>
      <c r="L75" s="10">
        <v>1.2389999999999979</v>
      </c>
      <c r="M75" s="10">
        <v>3.791000000000059</v>
      </c>
      <c r="N75" s="10">
        <v>1.1729999999999661</v>
      </c>
      <c r="O75" s="10">
        <v>1.1875000000000007</v>
      </c>
    </row>
    <row r="76" spans="1:15" x14ac:dyDescent="0.25">
      <c r="A76" s="8">
        <v>46183</v>
      </c>
      <c r="C76">
        <v>114.95000000000061</v>
      </c>
      <c r="E76">
        <v>140.9499999999947</v>
      </c>
      <c r="F76">
        <v>120.64899999999818</v>
      </c>
      <c r="G76" s="10">
        <v>1.2064899999999819</v>
      </c>
      <c r="I76" s="10">
        <v>1.1620000000000075</v>
      </c>
      <c r="J76" s="10">
        <v>1.1712999999999791</v>
      </c>
      <c r="K76" s="10">
        <v>1.2775000000000216</v>
      </c>
      <c r="L76" s="10">
        <v>1.2474999999999925</v>
      </c>
      <c r="M76" s="10">
        <v>3.7980000000002354</v>
      </c>
      <c r="N76" s="10">
        <v>1.1840000000000153</v>
      </c>
      <c r="O76" s="10">
        <v>1.1877500000000092</v>
      </c>
    </row>
    <row r="77" spans="1:15" x14ac:dyDescent="0.25">
      <c r="A77" s="8">
        <v>46184</v>
      </c>
      <c r="C77">
        <v>115.10000000000477</v>
      </c>
      <c r="E77">
        <v>141.50900000000058</v>
      </c>
      <c r="F77">
        <v>120.95999999999762</v>
      </c>
      <c r="G77" s="10">
        <v>1.2095999999999762</v>
      </c>
      <c r="I77" s="10">
        <v>1.1630000000000167</v>
      </c>
      <c r="J77" s="10">
        <v>1.1789999999999983</v>
      </c>
      <c r="K77" s="10">
        <v>1.2854999999999455</v>
      </c>
      <c r="L77" s="10">
        <v>1.2495000000000385</v>
      </c>
      <c r="M77" s="10">
        <v>3.7954999999997909</v>
      </c>
      <c r="N77" s="10">
        <v>1.1755000000000833</v>
      </c>
      <c r="O77" s="10">
        <v>1.1880000000000044</v>
      </c>
    </row>
    <row r="78" spans="1:15" x14ac:dyDescent="0.25">
      <c r="A78" s="8">
        <v>46185</v>
      </c>
      <c r="C78">
        <v>115.30000000000229</v>
      </c>
      <c r="E78">
        <v>141.94999999999959</v>
      </c>
      <c r="F78">
        <v>121.34999999999832</v>
      </c>
      <c r="G78" s="10">
        <v>1.2134999999999831</v>
      </c>
      <c r="I78" s="10">
        <v>1.1690000000000722</v>
      </c>
      <c r="J78" s="10">
        <v>1.1820100000000295</v>
      </c>
      <c r="K78" s="10">
        <v>1.287450000000018</v>
      </c>
      <c r="L78" s="10">
        <v>1.2500000000000171</v>
      </c>
      <c r="M78" s="10">
        <v>3.8235000000002897</v>
      </c>
      <c r="N78" s="10">
        <v>1.1849999999999508</v>
      </c>
      <c r="O78" s="10">
        <v>1.1865000000000112</v>
      </c>
    </row>
    <row r="79" spans="1:15" x14ac:dyDescent="0.25">
      <c r="A79" s="8">
        <v>46189</v>
      </c>
      <c r="C79">
        <v>115.35000000000197</v>
      </c>
      <c r="E79">
        <v>141.76200000000665</v>
      </c>
      <c r="F79">
        <v>121.79999999999784</v>
      </c>
      <c r="G79" s="10">
        <v>1.2179999999999784</v>
      </c>
      <c r="I79" s="10">
        <v>1.1679999999999808</v>
      </c>
      <c r="J79" s="10">
        <v>1.1847999999999781</v>
      </c>
      <c r="K79" s="10">
        <v>1.2905000000000069</v>
      </c>
      <c r="L79" s="10">
        <v>1.2365000000000157</v>
      </c>
      <c r="M79" s="10">
        <v>3.8140000000000964</v>
      </c>
      <c r="N79" s="10">
        <v>1.1835000000000291</v>
      </c>
      <c r="O79" s="10">
        <v>1.1845000000000103</v>
      </c>
    </row>
    <row r="80" spans="1:15" x14ac:dyDescent="0.25">
      <c r="A80" s="8">
        <v>46190</v>
      </c>
      <c r="C80">
        <v>115.5000000000004</v>
      </c>
      <c r="E80">
        <v>141.75000000000176</v>
      </c>
      <c r="F80">
        <v>121.65599999999712</v>
      </c>
      <c r="G80" s="10">
        <v>1.2165599999999712</v>
      </c>
      <c r="I80" s="10">
        <v>1.1680000000000101</v>
      </c>
      <c r="J80" s="10">
        <v>1.1799999999999968</v>
      </c>
      <c r="K80" s="10">
        <v>1.2883999999999463</v>
      </c>
      <c r="L80" s="10">
        <v>1.2409999999999612</v>
      </c>
      <c r="M80" s="10">
        <v>3.8065000000000286</v>
      </c>
      <c r="N80" s="10">
        <v>1.1849999999999887</v>
      </c>
      <c r="O80" s="10">
        <v>1.1819999999999902</v>
      </c>
    </row>
    <row r="81" spans="1:15" x14ac:dyDescent="0.25">
      <c r="A81" s="8">
        <v>46191</v>
      </c>
      <c r="C81">
        <v>115.8499999999955</v>
      </c>
      <c r="E81">
        <v>141.9799999999982</v>
      </c>
      <c r="F81">
        <v>121.74999999999589</v>
      </c>
      <c r="G81" s="10">
        <v>1.2174999999999589</v>
      </c>
      <c r="I81" s="10">
        <v>1.1600000000000243</v>
      </c>
      <c r="J81" s="10">
        <v>1.1798899999999848</v>
      </c>
      <c r="K81" s="10">
        <v>1.2885000000000004</v>
      </c>
      <c r="L81" s="10">
        <v>1.2400000000000091</v>
      </c>
      <c r="M81" s="10">
        <v>3.8024999999995703</v>
      </c>
      <c r="N81" s="10">
        <v>1.1890000000000815</v>
      </c>
      <c r="O81" s="10">
        <v>1.183500000000018</v>
      </c>
    </row>
    <row r="82" spans="1:15" x14ac:dyDescent="0.25">
      <c r="A82" s="8">
        <v>46192</v>
      </c>
      <c r="C82">
        <v>115.99999999999871</v>
      </c>
      <c r="E82">
        <v>142.20000000000212</v>
      </c>
      <c r="F82">
        <v>122.0999999999971</v>
      </c>
      <c r="G82" s="10">
        <v>1.220999999999971</v>
      </c>
      <c r="I82" s="10">
        <v>1.1599999999999582</v>
      </c>
      <c r="J82" s="10">
        <v>1.1814999999999976</v>
      </c>
      <c r="K82" s="10">
        <v>1.2919999999999319</v>
      </c>
      <c r="L82" s="10">
        <v>1.2499999999999445</v>
      </c>
      <c r="M82" s="10">
        <v>3.8040000000000389</v>
      </c>
      <c r="N82" s="10">
        <v>1.1819999999999333</v>
      </c>
      <c r="O82" s="10">
        <v>1.1830099999999724</v>
      </c>
    </row>
    <row r="83" spans="1:15" x14ac:dyDescent="0.25">
      <c r="A83" s="8">
        <v>46195</v>
      </c>
      <c r="C83">
        <v>115.89999999999915</v>
      </c>
      <c r="E83">
        <v>141.9000000000014</v>
      </c>
      <c r="F83">
        <v>122.21000000000063</v>
      </c>
      <c r="G83" s="10">
        <v>1.2221000000000064</v>
      </c>
      <c r="I83" s="10">
        <v>1.1650000000000262</v>
      </c>
      <c r="J83" s="10">
        <v>1.1820000000000173</v>
      </c>
      <c r="K83" s="10">
        <v>1.2920000000000176</v>
      </c>
      <c r="L83" s="10">
        <v>1.2499999999999964</v>
      </c>
      <c r="M83" s="10">
        <v>3.8054999999997468</v>
      </c>
      <c r="N83" s="10">
        <v>1.1900000000000241</v>
      </c>
      <c r="O83" s="10">
        <v>1.1850000000000214</v>
      </c>
    </row>
    <row r="84" spans="1:15" x14ac:dyDescent="0.25">
      <c r="A84" s="8">
        <v>46196</v>
      </c>
      <c r="C84">
        <v>115.79999999999939</v>
      </c>
      <c r="E84">
        <v>141.51899999999259</v>
      </c>
      <c r="F84">
        <v>121.49999999999996</v>
      </c>
      <c r="G84" s="10">
        <v>1.2149999999999996</v>
      </c>
      <c r="I84" s="10">
        <v>1.1600000000000272</v>
      </c>
      <c r="J84" s="10">
        <v>1.1750000000000003</v>
      </c>
      <c r="K84" s="10">
        <v>1.286500000000089</v>
      </c>
      <c r="L84" s="10">
        <v>1.245200000000007</v>
      </c>
      <c r="M84" s="10">
        <v>3.7839999999999971</v>
      </c>
      <c r="N84" s="10">
        <v>1.1844999999999828</v>
      </c>
      <c r="O84" s="10">
        <v>1.1839999999999786</v>
      </c>
    </row>
    <row r="85" spans="1:15" x14ac:dyDescent="0.25">
      <c r="A85" s="8">
        <v>46197</v>
      </c>
      <c r="C85">
        <v>115.85000000000105</v>
      </c>
      <c r="E85">
        <v>141.34999999999647</v>
      </c>
      <c r="F85">
        <v>121.52400000000232</v>
      </c>
      <c r="G85" s="10">
        <v>1.2152400000000232</v>
      </c>
      <c r="I85" s="10">
        <v>1.157499999999964</v>
      </c>
      <c r="J85" s="10">
        <v>1.1784699999999635</v>
      </c>
      <c r="K85" s="10">
        <v>1.2860000000000162</v>
      </c>
      <c r="L85" s="10">
        <v>1.2446900000000436</v>
      </c>
      <c r="M85" s="10">
        <v>3.765999999999539</v>
      </c>
      <c r="N85" s="10">
        <v>1.1675000000000009</v>
      </c>
      <c r="O85" s="10">
        <v>1.1837999999999966</v>
      </c>
    </row>
    <row r="86" spans="1:15" x14ac:dyDescent="0.25">
      <c r="A86" s="8">
        <v>46198</v>
      </c>
      <c r="C86">
        <v>115.90000000000144</v>
      </c>
      <c r="E86">
        <v>141.19999999999828</v>
      </c>
      <c r="F86">
        <v>121.79000000000353</v>
      </c>
      <c r="G86" s="10">
        <v>1.2179000000000353</v>
      </c>
      <c r="I86" s="10">
        <v>1.1540000000000674</v>
      </c>
      <c r="J86" s="10">
        <v>1.1760000000000139</v>
      </c>
      <c r="K86" s="10">
        <v>1.2879999999999736</v>
      </c>
      <c r="L86" s="10">
        <v>1.2294999999999572</v>
      </c>
      <c r="M86" s="10">
        <v>3.7559999999994562</v>
      </c>
      <c r="N86" s="10">
        <v>1.1700000000000288</v>
      </c>
      <c r="O86" s="10">
        <v>1.1825000000000259</v>
      </c>
    </row>
    <row r="87" spans="1:15" x14ac:dyDescent="0.25">
      <c r="A87" s="8">
        <v>46199</v>
      </c>
      <c r="C87">
        <v>116.19999999999844</v>
      </c>
      <c r="E87">
        <v>141.60000000000085</v>
      </c>
      <c r="F87">
        <v>122.80000000000007</v>
      </c>
      <c r="G87" s="10">
        <v>1.2280000000000006</v>
      </c>
      <c r="I87" s="10">
        <v>1.1580000000000199</v>
      </c>
      <c r="J87" s="10">
        <v>1.1811000000000313</v>
      </c>
      <c r="K87" s="10">
        <v>1.2909999999999757</v>
      </c>
      <c r="L87" s="10">
        <v>1.2249999999999914</v>
      </c>
      <c r="M87" s="10">
        <v>3.7524999999993192</v>
      </c>
      <c r="N87" s="10">
        <v>1.1665000000000254</v>
      </c>
      <c r="O87" s="10">
        <v>1.1854999999999942</v>
      </c>
    </row>
    <row r="88" spans="1:15" x14ac:dyDescent="0.25">
      <c r="A88" s="8">
        <v>46202</v>
      </c>
      <c r="C88">
        <v>116.19999999999891</v>
      </c>
      <c r="E88">
        <v>142.25000000000114</v>
      </c>
      <c r="F88">
        <v>122.85000000000015</v>
      </c>
      <c r="G88" s="10">
        <v>1.2285000000000015</v>
      </c>
      <c r="I88" s="10">
        <v>1.1645000000000396</v>
      </c>
      <c r="J88" s="10">
        <v>1.1855500000000281</v>
      </c>
      <c r="K88" s="10">
        <v>1.2983899999999551</v>
      </c>
      <c r="L88" s="10">
        <v>1.2374999999999325</v>
      </c>
      <c r="M88" s="10">
        <v>3.7709999999994288</v>
      </c>
      <c r="N88" s="10">
        <v>1.1750000000000045</v>
      </c>
      <c r="O88" s="10">
        <v>1.1876999999999795</v>
      </c>
    </row>
    <row r="89" spans="1:15" x14ac:dyDescent="0.25">
      <c r="A89" s="8">
        <v>46203</v>
      </c>
      <c r="C89">
        <v>116.49999999999818</v>
      </c>
      <c r="D89">
        <v>101.69999999999537</v>
      </c>
      <c r="E89">
        <v>142.84000000000216</v>
      </c>
      <c r="F89">
        <v>123.05999999999922</v>
      </c>
      <c r="G89" s="10">
        <v>1.2305999999999921</v>
      </c>
      <c r="I89" s="10">
        <v>1.1629999999999696</v>
      </c>
      <c r="J89" s="10">
        <v>1.1890000000000192</v>
      </c>
      <c r="K89" s="10">
        <v>1.3018899999999989</v>
      </c>
      <c r="L89" s="10">
        <v>1.2564499999999315</v>
      </c>
      <c r="M89" s="10">
        <v>3.7769999999996382</v>
      </c>
      <c r="N89" s="10">
        <v>1.181500000000004</v>
      </c>
      <c r="O89" s="10">
        <v>1.1890000000000207</v>
      </c>
    </row>
    <row r="90" spans="1:15" x14ac:dyDescent="0.25">
      <c r="A90" s="8">
        <v>46204</v>
      </c>
      <c r="C90">
        <v>116.14999999999726</v>
      </c>
      <c r="D90">
        <v>101.59999999998949</v>
      </c>
      <c r="E90">
        <v>143.00000000000205</v>
      </c>
      <c r="F90">
        <v>123.69999999999912</v>
      </c>
      <c r="G90" s="10">
        <v>1.2369999999999912</v>
      </c>
      <c r="I90" s="10">
        <v>1.1630000000000142</v>
      </c>
      <c r="J90" s="10">
        <v>1.1880000000000264</v>
      </c>
      <c r="K90" s="10">
        <v>1.3029000000000499</v>
      </c>
      <c r="L90" s="10">
        <v>1.248000000000012</v>
      </c>
      <c r="M90" s="10">
        <v>3.7699999999995493</v>
      </c>
      <c r="N90" s="10">
        <v>1.1785000000000299</v>
      </c>
      <c r="O90" s="10">
        <v>1.1889999999999905</v>
      </c>
    </row>
    <row r="91" spans="1:15" x14ac:dyDescent="0.25">
      <c r="A91" s="8">
        <v>46205</v>
      </c>
      <c r="C91">
        <v>116.20000000000172</v>
      </c>
      <c r="D91">
        <v>101.69999999998738</v>
      </c>
      <c r="E91">
        <v>143.24899999999764</v>
      </c>
      <c r="F91">
        <v>123.44999999999722</v>
      </c>
      <c r="G91" s="10">
        <v>1.2344999999999722</v>
      </c>
      <c r="I91" s="10">
        <v>1.163000000000006</v>
      </c>
      <c r="J91" s="10">
        <v>1.1879999999999871</v>
      </c>
      <c r="K91" s="10">
        <v>1.305500000000015</v>
      </c>
      <c r="L91" s="10">
        <v>1.2519999999999423</v>
      </c>
      <c r="M91" s="10">
        <v>3.7789999999993489</v>
      </c>
      <c r="N91" s="10">
        <v>1.1875000000000007</v>
      </c>
      <c r="O91" s="10">
        <v>1.1906999999999592</v>
      </c>
    </row>
    <row r="92" spans="1:15" x14ac:dyDescent="0.25">
      <c r="A92" s="8">
        <v>46206</v>
      </c>
      <c r="C92">
        <v>116.54999999999748</v>
      </c>
      <c r="D92">
        <v>102.29999999999512</v>
      </c>
      <c r="E92">
        <v>143.99999999999963</v>
      </c>
      <c r="F92">
        <v>123.609999999994</v>
      </c>
      <c r="G92" s="10">
        <v>1.23609999999994</v>
      </c>
      <c r="I92" s="10">
        <v>1.1649999999999661</v>
      </c>
      <c r="J92" s="10">
        <v>1.1904999999999952</v>
      </c>
      <c r="K92" s="10">
        <v>1.3100000000000049</v>
      </c>
      <c r="L92" s="10">
        <v>1.2560000000000466</v>
      </c>
      <c r="M92" s="10">
        <v>3.804500000000008</v>
      </c>
      <c r="N92" s="10">
        <v>1.1845000000000234</v>
      </c>
      <c r="O92" s="10">
        <v>1.1941200000000296</v>
      </c>
    </row>
    <row r="93" spans="1:15" x14ac:dyDescent="0.25">
      <c r="A93" s="8">
        <v>46209</v>
      </c>
      <c r="C93">
        <v>116.60000000000039</v>
      </c>
      <c r="D93">
        <v>102.49999999999355</v>
      </c>
      <c r="E93">
        <v>143.20000000000056</v>
      </c>
      <c r="F93">
        <v>123.99900000000123</v>
      </c>
      <c r="G93" s="10">
        <v>1.2399900000000124</v>
      </c>
      <c r="I93" s="10">
        <v>1.1614999999999771</v>
      </c>
      <c r="J93" s="10">
        <v>1.1909999999999537</v>
      </c>
      <c r="K93" s="10">
        <v>1.3119999999999485</v>
      </c>
      <c r="L93" s="10">
        <v>1.2590000000000168</v>
      </c>
      <c r="M93" s="10">
        <v>3.8280000000001455</v>
      </c>
      <c r="N93" s="10">
        <v>1.1884999999999668</v>
      </c>
      <c r="O93" s="10">
        <v>1.1967499999999733</v>
      </c>
    </row>
    <row r="94" spans="1:15" x14ac:dyDescent="0.25">
      <c r="A94" s="8">
        <v>46210</v>
      </c>
      <c r="C94">
        <v>116.64999999999654</v>
      </c>
      <c r="D94">
        <v>102.79999999999593</v>
      </c>
      <c r="E94">
        <v>144.1999999999997</v>
      </c>
      <c r="F94">
        <v>124.49999999999707</v>
      </c>
      <c r="G94" s="10">
        <v>1.2449999999999708</v>
      </c>
      <c r="I94" s="10">
        <v>1.1689999999999841</v>
      </c>
      <c r="J94" s="10">
        <v>1.1910999999999721</v>
      </c>
      <c r="K94" s="10">
        <v>1.313100000000033</v>
      </c>
      <c r="L94" s="10">
        <v>1.2650000000000547</v>
      </c>
      <c r="M94" s="10">
        <v>3.8329999999999433</v>
      </c>
      <c r="N94" s="10">
        <v>1.1879999999999882</v>
      </c>
      <c r="O94" s="10">
        <v>1.1960000000000157</v>
      </c>
    </row>
    <row r="95" spans="1:15" x14ac:dyDescent="0.25">
      <c r="A95" s="8">
        <v>46211</v>
      </c>
      <c r="C95">
        <v>117.04999999999713</v>
      </c>
      <c r="D95">
        <v>102.89999999999743</v>
      </c>
      <c r="E95">
        <v>143.9999999999992</v>
      </c>
      <c r="F95">
        <v>124.70100000000406</v>
      </c>
      <c r="G95" s="10">
        <v>1.2470100000000406</v>
      </c>
      <c r="I95" s="10">
        <v>1.1689999999999485</v>
      </c>
      <c r="J95" s="10">
        <v>1.1954800000000181</v>
      </c>
      <c r="K95" s="10">
        <v>1.3150000000000088</v>
      </c>
      <c r="L95" s="10">
        <v>1.267500000000092</v>
      </c>
      <c r="M95" s="10">
        <v>3.8399999999999888</v>
      </c>
      <c r="N95" s="10">
        <v>1.1800000000000175</v>
      </c>
      <c r="O95" s="10">
        <v>1.1994999999999825</v>
      </c>
    </row>
    <row r="96" spans="1:15" x14ac:dyDescent="0.25">
      <c r="A96" s="8">
        <v>46213</v>
      </c>
      <c r="C96">
        <v>118.95000000000233</v>
      </c>
      <c r="D96">
        <v>103.99999999999206</v>
      </c>
      <c r="E96">
        <v>144.39999999999878</v>
      </c>
      <c r="F96">
        <v>125.99999999999356</v>
      </c>
      <c r="G96" s="10">
        <v>1.2599999999999356</v>
      </c>
      <c r="I96" s="10">
        <v>1.1789999999999943</v>
      </c>
      <c r="J96" s="10">
        <v>1.1984999999999846</v>
      </c>
      <c r="K96" s="10">
        <v>1.315500000000043</v>
      </c>
      <c r="L96" s="10">
        <v>1.2749999999999952</v>
      </c>
      <c r="M96" s="10">
        <v>3.8379999999999854</v>
      </c>
      <c r="N96" s="10"/>
      <c r="O96" s="10">
        <v>1.2011199999999851</v>
      </c>
    </row>
    <row r="97" spans="1:15" x14ac:dyDescent="0.25">
      <c r="A97" s="8">
        <v>46216</v>
      </c>
      <c r="C97">
        <v>117.00000000000126</v>
      </c>
      <c r="D97">
        <v>102.8999999999991</v>
      </c>
      <c r="E97">
        <v>144.31999999999823</v>
      </c>
      <c r="F97">
        <v>124.50000000000504</v>
      </c>
      <c r="G97" s="10">
        <v>1.2450000000000505</v>
      </c>
      <c r="I97" s="10">
        <v>1.1680000000000168</v>
      </c>
      <c r="J97" s="10">
        <v>1.1938999999999635</v>
      </c>
      <c r="K97" s="10">
        <v>1.3159999999999892</v>
      </c>
      <c r="L97" s="10">
        <v>1.2680999999999947</v>
      </c>
      <c r="M97" s="10">
        <v>3.8379999999999446</v>
      </c>
      <c r="N97" s="10">
        <v>1.190000000000061</v>
      </c>
      <c r="O97" s="10">
        <v>1.1989999999999967</v>
      </c>
    </row>
    <row r="98" spans="1:15" x14ac:dyDescent="0.25">
      <c r="A98" s="8">
        <v>46217</v>
      </c>
      <c r="C98">
        <v>117.10000000000029</v>
      </c>
      <c r="D98">
        <v>103.00000000000003</v>
      </c>
      <c r="E98">
        <v>144.04999999999967</v>
      </c>
      <c r="F98">
        <v>124.43900000000487</v>
      </c>
      <c r="G98" s="10">
        <v>1.2443900000000487</v>
      </c>
      <c r="I98" s="10">
        <v>1.1679999999999691</v>
      </c>
      <c r="J98" s="10">
        <v>1.1926200000000151</v>
      </c>
      <c r="K98" s="10">
        <v>1.3155000000000272</v>
      </c>
      <c r="L98" s="10">
        <v>1.2689899999999412</v>
      </c>
      <c r="M98" s="10">
        <v>3.8444999999997322</v>
      </c>
      <c r="N98" s="10">
        <v>1.1894999999999463</v>
      </c>
      <c r="O98" s="10">
        <v>1.1994999999999936</v>
      </c>
    </row>
    <row r="99" spans="1:15" x14ac:dyDescent="0.25">
      <c r="A99" s="8">
        <v>46218</v>
      </c>
      <c r="C99">
        <v>117.10000000000097</v>
      </c>
      <c r="D99">
        <v>103.75000000000189</v>
      </c>
      <c r="E99">
        <v>144.35000000000323</v>
      </c>
      <c r="F99">
        <v>124.44999999999176</v>
      </c>
      <c r="G99" s="10">
        <v>1.2444999999999176</v>
      </c>
      <c r="I99" s="10">
        <v>1.172000000000011</v>
      </c>
      <c r="J99" s="10">
        <v>1.1969999999999694</v>
      </c>
      <c r="K99" s="10">
        <v>1.3170000000000386</v>
      </c>
      <c r="L99" s="10">
        <v>1.2750000000000268</v>
      </c>
      <c r="M99" s="10">
        <v>3.8474999999999659</v>
      </c>
      <c r="N99" s="10">
        <v>1.191000000000014</v>
      </c>
      <c r="O99" s="10">
        <v>1.1987100000000031</v>
      </c>
    </row>
    <row r="100" spans="1:15" x14ac:dyDescent="0.25">
      <c r="A100" s="8">
        <v>46219</v>
      </c>
      <c r="C100">
        <v>116.95000000000159</v>
      </c>
      <c r="D100">
        <v>103.29999999999767</v>
      </c>
      <c r="E100">
        <v>143.79999999999671</v>
      </c>
      <c r="F100">
        <v>124.31999999999903</v>
      </c>
      <c r="G100" s="10">
        <v>1.2431999999999903</v>
      </c>
      <c r="I100" s="10">
        <v>1.1679999999999908</v>
      </c>
      <c r="J100" s="10">
        <v>1.1926299999999901</v>
      </c>
      <c r="K100" s="10">
        <v>1.3149899999999441</v>
      </c>
      <c r="L100" s="10">
        <v>1.2700000000000005</v>
      </c>
      <c r="M100" s="10">
        <v>3.8449999999996027</v>
      </c>
      <c r="N100" s="10">
        <v>1.1904999999999628</v>
      </c>
      <c r="O100" s="10">
        <v>1.201399999999996</v>
      </c>
    </row>
    <row r="101" spans="1:15" x14ac:dyDescent="0.25">
      <c r="A101" s="8">
        <v>46220</v>
      </c>
      <c r="C101">
        <v>117.19999999999719</v>
      </c>
      <c r="D101">
        <v>103.09999999999906</v>
      </c>
      <c r="E101">
        <v>144.34000000000395</v>
      </c>
      <c r="F101">
        <v>124.45000000000191</v>
      </c>
      <c r="G101" s="10">
        <v>1.244500000000019</v>
      </c>
      <c r="I101" s="10">
        <v>1.1649999999999787</v>
      </c>
      <c r="J101" s="10">
        <v>1.196399999999985</v>
      </c>
      <c r="K101" s="10">
        <v>1.3171999999999926</v>
      </c>
      <c r="L101" s="10">
        <v>1.2618999999999929</v>
      </c>
      <c r="M101" s="10">
        <v>3.8449999999998776</v>
      </c>
      <c r="N101" s="10">
        <v>1.1945000000000174</v>
      </c>
      <c r="O101" s="10">
        <v>1.2036000000000011</v>
      </c>
    </row>
    <row r="102" spans="1:15" x14ac:dyDescent="0.25">
      <c r="A102" s="8">
        <v>46223</v>
      </c>
      <c r="C102">
        <v>117.20000000000171</v>
      </c>
      <c r="D102">
        <v>103.15000000000003</v>
      </c>
      <c r="E102">
        <v>144.20000000000377</v>
      </c>
      <c r="F102">
        <v>124.3700000000004</v>
      </c>
      <c r="G102" s="10">
        <v>1.243700000000004</v>
      </c>
      <c r="I102" s="10">
        <v>1.1709999999999652</v>
      </c>
      <c r="J102" s="10">
        <v>1.1967900000000185</v>
      </c>
      <c r="K102" s="10">
        <v>1.3159999999999488</v>
      </c>
      <c r="L102" s="10">
        <v>1.25999999999999</v>
      </c>
      <c r="M102" s="10">
        <v>3.8524999999998011</v>
      </c>
      <c r="N102" s="10">
        <v>1.1905000000000097</v>
      </c>
      <c r="O102" s="10">
        <v>1.2069999999999925</v>
      </c>
    </row>
    <row r="103" spans="1:15" x14ac:dyDescent="0.25">
      <c r="A103" s="8">
        <v>46224</v>
      </c>
      <c r="C103">
        <v>117.39999999999964</v>
      </c>
      <c r="D103">
        <v>103.19999999999251</v>
      </c>
      <c r="E103">
        <v>143.99999999999886</v>
      </c>
      <c r="F103">
        <v>124.28999999999924</v>
      </c>
      <c r="G103" s="10">
        <v>1.2428999999999923</v>
      </c>
      <c r="I103" s="10">
        <v>1.1780000000000272</v>
      </c>
      <c r="J103" s="10">
        <v>1.1964299999999783</v>
      </c>
      <c r="K103" s="10">
        <v>1.3161999999999969</v>
      </c>
      <c r="L103" s="10">
        <v>1.2587999999999977</v>
      </c>
      <c r="M103" s="10">
        <v>3.8520000000000461</v>
      </c>
      <c r="N103" s="10">
        <v>1.1940000000000539</v>
      </c>
      <c r="O103" s="10">
        <v>1.2069999999999925</v>
      </c>
    </row>
    <row r="104" spans="1:15" x14ac:dyDescent="0.25">
      <c r="A104" s="8">
        <v>46225</v>
      </c>
      <c r="C104">
        <v>117.39999999999702</v>
      </c>
      <c r="D104">
        <v>103.39999999999921</v>
      </c>
      <c r="E104">
        <v>144.09999999999738</v>
      </c>
      <c r="F104">
        <v>124.0989999999983</v>
      </c>
      <c r="G104" s="10">
        <v>1.2409899999999829</v>
      </c>
      <c r="I104" s="10">
        <v>1.1789999999999383</v>
      </c>
      <c r="J104" s="10">
        <v>1.1965000000000026</v>
      </c>
      <c r="K104" s="10">
        <v>1.3149800000000322</v>
      </c>
      <c r="L104" s="10">
        <v>1.2564999999999862</v>
      </c>
      <c r="M104" s="10">
        <v>3.864499999999929</v>
      </c>
      <c r="N104" s="10">
        <v>1.1959999999999964</v>
      </c>
      <c r="O104" s="10">
        <v>1.207999999999998</v>
      </c>
    </row>
    <row r="105" spans="1:15" x14ac:dyDescent="0.25">
      <c r="A105" s="8">
        <v>46226</v>
      </c>
      <c r="C105">
        <v>117.59999999999798</v>
      </c>
      <c r="D105">
        <v>103.40000000000072</v>
      </c>
      <c r="E105">
        <v>144.13899999999774</v>
      </c>
      <c r="F105">
        <v>123.90000000000185</v>
      </c>
      <c r="G105" s="10">
        <v>1.2390000000000185</v>
      </c>
      <c r="I105" s="10">
        <v>1.1830000000000149</v>
      </c>
      <c r="J105" s="10">
        <v>1.1964999999999753</v>
      </c>
      <c r="K105" s="10">
        <v>1.3127999999999656</v>
      </c>
      <c r="L105" s="10">
        <v>1.2534999999999517</v>
      </c>
      <c r="M105" s="10">
        <v>3.8660000000001036</v>
      </c>
      <c r="N105" s="10">
        <v>1.1969999999999317</v>
      </c>
      <c r="O105" s="10">
        <v>1.2095000000000156</v>
      </c>
    </row>
    <row r="106" spans="1:15" x14ac:dyDescent="0.25">
      <c r="A106" s="8">
        <v>46227</v>
      </c>
      <c r="C106">
        <v>117.84999999999715</v>
      </c>
      <c r="D106">
        <v>103.79999999999725</v>
      </c>
      <c r="E106">
        <v>144.19999999999993</v>
      </c>
      <c r="F106">
        <v>123.85000000000007</v>
      </c>
      <c r="G106" s="10">
        <v>1.2385000000000006</v>
      </c>
      <c r="I106" s="10">
        <v>1.1840000000000204</v>
      </c>
      <c r="J106" s="10">
        <v>1.1989999999999943</v>
      </c>
      <c r="K106" s="10">
        <v>1.3145000000000133</v>
      </c>
      <c r="L106" s="10">
        <v>1.2569999999999748</v>
      </c>
      <c r="M106" s="10">
        <v>3.8744999999995748</v>
      </c>
      <c r="N106" s="10">
        <v>1.198000000000031</v>
      </c>
      <c r="O106" s="10">
        <v>1.2115999999999791</v>
      </c>
    </row>
    <row r="107" spans="1:15" x14ac:dyDescent="0.25">
      <c r="A107" s="8">
        <v>46230</v>
      </c>
      <c r="C107">
        <v>117.80000000000182</v>
      </c>
      <c r="D107">
        <v>103.94999999999808</v>
      </c>
      <c r="E107">
        <v>144.51899999999969</v>
      </c>
      <c r="F107">
        <v>124.04999999999802</v>
      </c>
      <c r="G107" s="10">
        <v>1.2404999999999802</v>
      </c>
      <c r="I107" s="10">
        <v>1.1849999999999445</v>
      </c>
      <c r="J107" s="10">
        <v>1.1993099999999854</v>
      </c>
      <c r="K107" s="10">
        <v>1.3142499999999253</v>
      </c>
      <c r="L107" s="10">
        <v>1.2560000000000233</v>
      </c>
      <c r="M107" s="10">
        <v>3.8799999999998103</v>
      </c>
      <c r="N107" s="10">
        <v>1.2000000000000353</v>
      </c>
      <c r="O107" s="10">
        <v>1.2118000000000122</v>
      </c>
    </row>
    <row r="108" spans="1:15" x14ac:dyDescent="0.25">
      <c r="A108" s="8">
        <v>46231</v>
      </c>
      <c r="C108">
        <v>118.35000000000147</v>
      </c>
      <c r="D108">
        <v>104.24999999999976</v>
      </c>
      <c r="E108">
        <v>144.19999999999581</v>
      </c>
      <c r="F108">
        <v>123.94999999999739</v>
      </c>
      <c r="G108" s="10">
        <v>1.2394999999999738</v>
      </c>
      <c r="I108" s="10">
        <v>1.1809999999999881</v>
      </c>
      <c r="J108" s="10">
        <v>1.1983500000000022</v>
      </c>
      <c r="K108" s="10">
        <v>1.3119999999999927</v>
      </c>
      <c r="L108" s="10">
        <v>1.2559999999999478</v>
      </c>
      <c r="M108" s="10">
        <v>3.8784999999999799</v>
      </c>
      <c r="N108" s="10">
        <v>1.2000000000000659</v>
      </c>
      <c r="O108" s="10">
        <v>1.2124700000000102</v>
      </c>
    </row>
    <row r="109" spans="1:15" x14ac:dyDescent="0.25">
      <c r="A109" s="8">
        <v>46232</v>
      </c>
      <c r="C109">
        <v>118.20000000000171</v>
      </c>
      <c r="D109">
        <v>103.74999999999976</v>
      </c>
      <c r="E109">
        <v>144.69500000000309</v>
      </c>
      <c r="F109">
        <v>123.84999999999707</v>
      </c>
      <c r="G109" s="10">
        <v>1.2384999999999706</v>
      </c>
      <c r="I109" s="10">
        <v>1.1819999999999511</v>
      </c>
      <c r="J109" s="10">
        <v>1.1989999999999854</v>
      </c>
      <c r="K109" s="10">
        <v>1.3147000000000142</v>
      </c>
      <c r="L109" s="10">
        <v>1.2569999999999324</v>
      </c>
      <c r="M109" s="10">
        <v>3.8809999999997609</v>
      </c>
      <c r="N109" s="10">
        <v>1.2095000000000846</v>
      </c>
      <c r="O109" s="10">
        <v>1.2124999999999957</v>
      </c>
    </row>
    <row r="110" spans="1:15" x14ac:dyDescent="0.25">
      <c r="A110" s="8">
        <v>46233</v>
      </c>
      <c r="C110">
        <v>118.04999999999643</v>
      </c>
      <c r="D110">
        <v>103.69999999999958</v>
      </c>
      <c r="E110">
        <v>143.70000000000095</v>
      </c>
      <c r="F110">
        <v>123.69999999999722</v>
      </c>
      <c r="G110" s="10">
        <v>1.2369999999999721</v>
      </c>
      <c r="I110" s="10">
        <v>1.1764999999999075</v>
      </c>
      <c r="J110" s="10">
        <v>1.1975000000000104</v>
      </c>
      <c r="K110" s="10">
        <v>1.3110000000000068</v>
      </c>
      <c r="L110" s="10">
        <v>1.2524999999999391</v>
      </c>
      <c r="M110" s="10">
        <v>3.8739999999998651</v>
      </c>
      <c r="N110" s="10">
        <v>1.2054999999999476</v>
      </c>
      <c r="O110" s="10">
        <v>1.2112000000000094</v>
      </c>
    </row>
    <row r="111" spans="1:15" x14ac:dyDescent="0.25">
      <c r="A111" s="8">
        <v>46234</v>
      </c>
      <c r="C111">
        <v>117.90000000000389</v>
      </c>
      <c r="D111">
        <v>103.9999999999972</v>
      </c>
      <c r="E111">
        <v>144.49999999999986</v>
      </c>
      <c r="F111">
        <v>123.58999999999905</v>
      </c>
      <c r="G111" s="10">
        <v>1.2358999999999905</v>
      </c>
      <c r="I111" s="10">
        <v>1.170999999999824</v>
      </c>
      <c r="J111" s="10">
        <v>1.1989000000000085</v>
      </c>
      <c r="K111" s="10">
        <v>1.310999999999944</v>
      </c>
      <c r="L111" s="10">
        <v>1.2544000000000031</v>
      </c>
      <c r="M111" s="10">
        <v>3.8749999999999254</v>
      </c>
      <c r="N111" s="10">
        <v>1.2099999999999793</v>
      </c>
      <c r="O111" s="10">
        <v>1.2140000000000157</v>
      </c>
    </row>
    <row r="112" spans="1:15" x14ac:dyDescent="0.25">
      <c r="A112" s="8">
        <v>46237</v>
      </c>
      <c r="C112">
        <v>118.54999999999949</v>
      </c>
      <c r="D112">
        <v>104.49999999999635</v>
      </c>
      <c r="E112">
        <v>144.85999999999999</v>
      </c>
      <c r="F112">
        <v>123.90000000000416</v>
      </c>
      <c r="G112" s="10">
        <v>1.2390000000000416</v>
      </c>
      <c r="I112" s="10">
        <v>1.1749999999998584</v>
      </c>
      <c r="J112" s="10">
        <v>1.2013999999999874</v>
      </c>
      <c r="K112" s="10">
        <v>1.3137999999999928</v>
      </c>
      <c r="L112" s="10">
        <v>1.2557999999999565</v>
      </c>
      <c r="M112" s="10">
        <v>3.8799999999998884</v>
      </c>
      <c r="N112" s="10">
        <v>1.2039999999999846</v>
      </c>
      <c r="O112" s="10">
        <v>1.2136999999999893</v>
      </c>
    </row>
    <row r="113" spans="1:15" x14ac:dyDescent="0.25">
      <c r="A113" s="8">
        <v>46238</v>
      </c>
      <c r="C113">
        <v>118.45000000000134</v>
      </c>
      <c r="D113">
        <v>104.54999999999426</v>
      </c>
      <c r="E113">
        <v>144.89999999999725</v>
      </c>
      <c r="F113">
        <v>123.74899999999943</v>
      </c>
      <c r="G113" s="10">
        <v>1.2374899999999942</v>
      </c>
      <c r="I113" s="10">
        <v>1.1769999999999075</v>
      </c>
      <c r="J113" s="10">
        <v>1.2015000000000005</v>
      </c>
      <c r="K113" s="10">
        <v>1.3129999999999333</v>
      </c>
      <c r="L113" s="10">
        <v>1.2559999999999634</v>
      </c>
      <c r="M113" s="10">
        <v>3.8850000000000544</v>
      </c>
      <c r="N113" s="10">
        <v>1.1970000000000127</v>
      </c>
      <c r="O113" s="10">
        <v>1.2145100000000122</v>
      </c>
    </row>
    <row r="114" spans="1:15" x14ac:dyDescent="0.25">
      <c r="A114" s="8">
        <v>46239</v>
      </c>
      <c r="C114">
        <v>117.99999999999756</v>
      </c>
      <c r="D114">
        <v>104.2499999999946</v>
      </c>
      <c r="E114">
        <v>144.20700000000176</v>
      </c>
      <c r="F114">
        <v>123.79999999999546</v>
      </c>
      <c r="G114" s="10">
        <v>1.2379999999999547</v>
      </c>
      <c r="I114" s="10">
        <v>1.1769999999999197</v>
      </c>
      <c r="J114" s="10">
        <v>1.200999999999989</v>
      </c>
      <c r="K114" s="10">
        <v>1.3117599999999756</v>
      </c>
      <c r="L114" s="10">
        <v>1.2550000000000188</v>
      </c>
      <c r="M114" s="10">
        <v>3.8789999999998797</v>
      </c>
      <c r="N114" s="10">
        <v>1.1964999999999746</v>
      </c>
      <c r="O114" s="10">
        <v>1.2140000000000015</v>
      </c>
    </row>
    <row r="115" spans="1:15" x14ac:dyDescent="0.25">
      <c r="A115" s="8">
        <v>46240</v>
      </c>
      <c r="C115">
        <v>118.25000000000043</v>
      </c>
      <c r="D115">
        <v>104.39999999999765</v>
      </c>
      <c r="E115">
        <v>144.23999999999538</v>
      </c>
      <c r="F115">
        <v>123.24900000000399</v>
      </c>
      <c r="G115" s="10">
        <v>1.2324900000000398</v>
      </c>
      <c r="I115" s="10">
        <v>1.1769999999998868</v>
      </c>
      <c r="J115" s="10">
        <v>1.2005000000000094</v>
      </c>
      <c r="K115" s="10">
        <v>1.309999999999965</v>
      </c>
      <c r="L115" s="10">
        <v>1.2505000000000397</v>
      </c>
      <c r="M115" s="10">
        <v>3.879999999999789</v>
      </c>
      <c r="N115" s="10">
        <v>1.1869999999999015</v>
      </c>
      <c r="O115" s="10">
        <v>1.2149999999999879</v>
      </c>
    </row>
    <row r="116" spans="1:15" x14ac:dyDescent="0.25">
      <c r="A116" s="8">
        <v>46241</v>
      </c>
      <c r="C116">
        <v>118.74999999999885</v>
      </c>
      <c r="D116">
        <v>104.54999999999815</v>
      </c>
      <c r="E116">
        <v>144.19900000000206</v>
      </c>
      <c r="F116">
        <v>123.19999999999898</v>
      </c>
      <c r="G116" s="10">
        <v>1.2319999999999898</v>
      </c>
      <c r="I116" s="10">
        <v>1.1804999999999233</v>
      </c>
      <c r="J116" s="10">
        <v>1.2027000000000181</v>
      </c>
      <c r="K116" s="10">
        <v>1.3089000000000388</v>
      </c>
      <c r="L116" s="10">
        <v>1.2559999999999547</v>
      </c>
      <c r="M116" s="10">
        <v>3.8849999999997529</v>
      </c>
      <c r="N116" s="10">
        <v>1.1994999999999145</v>
      </c>
      <c r="O116" s="10">
        <v>1.2187500000000131</v>
      </c>
    </row>
    <row r="117" spans="1:15" x14ac:dyDescent="0.25">
      <c r="A117" s="8">
        <v>46244</v>
      </c>
      <c r="C117">
        <v>118.84999999999852</v>
      </c>
      <c r="D117">
        <v>104.74999999999784</v>
      </c>
      <c r="E117">
        <v>144.39999999999887</v>
      </c>
      <c r="F117">
        <v>123.44999999999322</v>
      </c>
      <c r="G117" s="10">
        <v>1.2344999999999322</v>
      </c>
      <c r="I117" s="10">
        <v>1.1809999999998999</v>
      </c>
      <c r="J117" s="10">
        <v>1.2029999999999919</v>
      </c>
      <c r="K117" s="10">
        <v>1.3120000000000263</v>
      </c>
      <c r="L117" s="10">
        <v>1.2570000000000301</v>
      </c>
      <c r="M117" s="10">
        <v>3.8834999999997488</v>
      </c>
      <c r="N117" s="10">
        <v>1.2089999999999939</v>
      </c>
      <c r="O117" s="10">
        <v>1.220499999999981</v>
      </c>
    </row>
    <row r="118" spans="1:15" x14ac:dyDescent="0.25">
      <c r="A118" s="8">
        <v>46245</v>
      </c>
      <c r="C118">
        <v>119.05000000000476</v>
      </c>
      <c r="D118">
        <v>104.79999999999995</v>
      </c>
      <c r="E118">
        <v>144.45099999999795</v>
      </c>
      <c r="F118">
        <v>123.24999999999895</v>
      </c>
      <c r="G118" s="10">
        <v>1.2324999999999895</v>
      </c>
      <c r="I118" s="10">
        <v>1.1849999999999605</v>
      </c>
      <c r="J118" s="10">
        <v>1.2037499999999945</v>
      </c>
      <c r="K118" s="10">
        <v>1.3099999999999681</v>
      </c>
      <c r="L118" s="10">
        <v>1.2529999999999064</v>
      </c>
      <c r="M118" s="10">
        <v>3.8839999999998138</v>
      </c>
      <c r="N118" s="10">
        <v>1.2054999999999807</v>
      </c>
      <c r="O118" s="10">
        <v>1.2209999999999785</v>
      </c>
    </row>
    <row r="119" spans="1:15" x14ac:dyDescent="0.25">
      <c r="A119" s="8">
        <v>46246</v>
      </c>
      <c r="C119">
        <v>119.09999999999854</v>
      </c>
      <c r="D119">
        <v>105.2000000000002</v>
      </c>
      <c r="E119">
        <v>144.55000000000055</v>
      </c>
      <c r="F119">
        <v>123.29999999999902</v>
      </c>
      <c r="G119" s="10">
        <v>1.2329999999999901</v>
      </c>
      <c r="I119" s="10">
        <v>1.1849999999999625</v>
      </c>
      <c r="J119" s="10">
        <v>1.2055100000000101</v>
      </c>
      <c r="K119" s="10">
        <v>1.3114999999999635</v>
      </c>
      <c r="L119" s="10">
        <v>1.252999999999947</v>
      </c>
      <c r="M119" s="10">
        <v>3.8849999999997475</v>
      </c>
      <c r="N119" s="10">
        <v>1.2059999999999635</v>
      </c>
      <c r="O119" s="10">
        <v>1.2225000000000017</v>
      </c>
    </row>
    <row r="120" spans="1:15" x14ac:dyDescent="0.25">
      <c r="A120" s="8">
        <v>46247</v>
      </c>
      <c r="C120">
        <v>119.15000000000187</v>
      </c>
      <c r="D120">
        <v>104.99999999999901</v>
      </c>
      <c r="E120">
        <v>144.64999999999978</v>
      </c>
      <c r="F120">
        <v>123.60000000000073</v>
      </c>
      <c r="G120" s="10">
        <v>1.2360000000000073</v>
      </c>
      <c r="I120" s="10">
        <v>1.1879999999999267</v>
      </c>
      <c r="J120" s="10">
        <v>1.2072999999999883</v>
      </c>
      <c r="K120" s="10">
        <v>1.3113000000000332</v>
      </c>
      <c r="L120" s="10">
        <v>1.2585000000000228</v>
      </c>
      <c r="M120" s="10">
        <v>3.8779999999994397</v>
      </c>
      <c r="N120" s="10">
        <v>1.2110000000000176</v>
      </c>
      <c r="O120" s="10">
        <v>1.2244000000000141</v>
      </c>
    </row>
    <row r="121" spans="1:15" x14ac:dyDescent="0.25">
      <c r="A121" s="8">
        <v>46248</v>
      </c>
      <c r="C121">
        <v>119.25000000000017</v>
      </c>
      <c r="D121">
        <v>105.19999999999993</v>
      </c>
      <c r="E121">
        <v>145.30000000000427</v>
      </c>
      <c r="F121">
        <v>123.87999999999832</v>
      </c>
      <c r="G121" s="10">
        <v>1.2387999999999832</v>
      </c>
      <c r="H121" s="10">
        <v>0.98250000000002002</v>
      </c>
      <c r="I121" s="10">
        <v>1.1879999999999393</v>
      </c>
      <c r="J121" s="10">
        <v>1.2104500000000098</v>
      </c>
      <c r="K121" s="10">
        <v>1.3145100000000083</v>
      </c>
      <c r="L121" s="10">
        <v>1.2583999999999431</v>
      </c>
      <c r="M121" s="10">
        <v>3.8889999999998377</v>
      </c>
      <c r="N121" s="10">
        <v>1.2075000000000005</v>
      </c>
      <c r="O121" s="10">
        <v>1.2269999999999932</v>
      </c>
    </row>
    <row r="122" spans="1:15" x14ac:dyDescent="0.25">
      <c r="A122" s="8">
        <v>46252</v>
      </c>
      <c r="C122">
        <v>118.04999999999799</v>
      </c>
      <c r="D122">
        <v>105.00000000000014</v>
      </c>
      <c r="E122">
        <v>144.65000000000356</v>
      </c>
      <c r="F122">
        <v>122.50999999999712</v>
      </c>
      <c r="G122" s="10">
        <v>1.2250999999999712</v>
      </c>
      <c r="H122" s="10">
        <v>0.97850000000000381</v>
      </c>
      <c r="I122" s="10">
        <v>1.1754999999996658</v>
      </c>
      <c r="J122" s="10">
        <v>1.2035999999999898</v>
      </c>
      <c r="K122" s="10">
        <v>1.3024999999999687</v>
      </c>
      <c r="L122" s="10">
        <v>1.2544999999999822</v>
      </c>
      <c r="M122" s="10">
        <v>3.8499999999975199</v>
      </c>
      <c r="N122" s="10">
        <v>1.2069999999999776</v>
      </c>
      <c r="O122" s="10">
        <v>1.2239999999999871</v>
      </c>
    </row>
    <row r="123" spans="1:15" x14ac:dyDescent="0.25">
      <c r="A123" s="8">
        <v>46253</v>
      </c>
      <c r="C123">
        <v>118.64999999999756</v>
      </c>
      <c r="D123">
        <v>104.8999999999951</v>
      </c>
      <c r="E123">
        <v>144.2000000000032</v>
      </c>
      <c r="F123">
        <v>122.49999999999768</v>
      </c>
      <c r="G123" s="10">
        <v>1.2249999999999768</v>
      </c>
      <c r="H123" s="10">
        <v>0.97399999999999043</v>
      </c>
      <c r="I123" s="10">
        <v>1.1799999999998325</v>
      </c>
      <c r="J123" s="10">
        <v>1.2025000000000057</v>
      </c>
      <c r="K123" s="10">
        <v>1.2967000000000104</v>
      </c>
      <c r="L123" s="10">
        <v>1.2520000000000104</v>
      </c>
      <c r="M123" s="10">
        <v>3.8404999999960356</v>
      </c>
      <c r="N123" s="10">
        <v>1.1999999999999487</v>
      </c>
      <c r="O123" s="10">
        <v>1.2200000000000066</v>
      </c>
    </row>
    <row r="124" spans="1:15" x14ac:dyDescent="0.25">
      <c r="A124" s="8">
        <v>46254</v>
      </c>
      <c r="C124">
        <v>119.44999999999813</v>
      </c>
      <c r="D124">
        <v>105.19999999999841</v>
      </c>
      <c r="E124">
        <v>145.10000000000193</v>
      </c>
      <c r="F124">
        <v>124.09999999999457</v>
      </c>
      <c r="G124" s="10">
        <v>1.2409999999999457</v>
      </c>
      <c r="H124" s="10">
        <v>0.98149999999999382</v>
      </c>
      <c r="I124" s="10">
        <v>1.1839999999999185</v>
      </c>
      <c r="J124" s="10">
        <v>1.2097999999999922</v>
      </c>
      <c r="K124" s="10">
        <v>1.3154000000000408</v>
      </c>
      <c r="L124" s="10">
        <v>1.2580000000000051</v>
      </c>
      <c r="M124" s="10">
        <v>3.8509999999971267</v>
      </c>
      <c r="N124" s="10">
        <v>1.2049999999999526</v>
      </c>
      <c r="O124" s="10">
        <v>1.2234999999999907</v>
      </c>
    </row>
    <row r="125" spans="1:15" x14ac:dyDescent="0.25">
      <c r="A125" s="8">
        <v>46255</v>
      </c>
      <c r="C125">
        <v>120.0000000000025</v>
      </c>
      <c r="D125">
        <v>105.44999999999209</v>
      </c>
      <c r="E125">
        <v>145.70000000000258</v>
      </c>
      <c r="F125">
        <v>124.34999999999815</v>
      </c>
      <c r="G125" s="10">
        <v>1.2434999999999814</v>
      </c>
      <c r="H125" s="10">
        <v>0.98299999999999865</v>
      </c>
      <c r="I125" s="10">
        <v>1.1900000000000273</v>
      </c>
      <c r="J125" s="10">
        <v>1.21434999999999</v>
      </c>
      <c r="K125" s="10">
        <v>1.3193999999999864</v>
      </c>
      <c r="L125" s="10">
        <v>1.2599999999999409</v>
      </c>
      <c r="M125" s="10">
        <v>3.8624999999979792</v>
      </c>
      <c r="N125" s="10">
        <v>1.2094999999999694</v>
      </c>
      <c r="O125" s="10">
        <v>1.2264999999999853</v>
      </c>
    </row>
    <row r="126" spans="1:15" x14ac:dyDescent="0.25">
      <c r="A126" s="8">
        <v>46258</v>
      </c>
      <c r="C126">
        <v>120.24999999999876</v>
      </c>
      <c r="D126">
        <v>105.24999999999255</v>
      </c>
      <c r="E126">
        <v>146.07999999999939</v>
      </c>
      <c r="F126">
        <v>124.62999999999937</v>
      </c>
      <c r="G126" s="10">
        <v>1.2462999999999937</v>
      </c>
      <c r="H126" s="10">
        <v>0.98449999999997362</v>
      </c>
      <c r="I126" s="10">
        <v>1.1899999999999828</v>
      </c>
      <c r="J126" s="10">
        <v>1.2152000000000056</v>
      </c>
      <c r="K126" s="10">
        <v>1.3234000000000601</v>
      </c>
      <c r="L126" s="10">
        <v>1.259999999999976</v>
      </c>
      <c r="M126" s="10">
        <v>3.8749999999983853</v>
      </c>
      <c r="N126" s="10">
        <v>1.2109999999999512</v>
      </c>
      <c r="O126" s="10">
        <v>1.2280000000000046</v>
      </c>
    </row>
    <row r="127" spans="1:15" x14ac:dyDescent="0.25">
      <c r="A127" s="8">
        <v>46259</v>
      </c>
      <c r="C127">
        <v>120.14999999999768</v>
      </c>
      <c r="D127">
        <v>105.29999999999787</v>
      </c>
      <c r="E127">
        <v>145.65199999999894</v>
      </c>
      <c r="F127">
        <v>124.54999999999868</v>
      </c>
      <c r="G127" s="10">
        <v>1.2454999999999867</v>
      </c>
      <c r="H127" s="10">
        <v>0.98380000000002654</v>
      </c>
      <c r="I127" s="10">
        <v>1.1964999999999462</v>
      </c>
      <c r="J127" s="10">
        <v>1.2143999999999908</v>
      </c>
      <c r="K127" s="10">
        <v>1.3219000000000027</v>
      </c>
      <c r="L127" s="10">
        <v>1.2533999999999761</v>
      </c>
      <c r="M127" s="10">
        <v>3.8814999999987094</v>
      </c>
      <c r="N127" s="10">
        <v>1.2174999999999614</v>
      </c>
      <c r="O127" s="10">
        <v>1.2279999999999969</v>
      </c>
    </row>
    <row r="128" spans="1:15" x14ac:dyDescent="0.25">
      <c r="A128" s="8">
        <v>46260</v>
      </c>
      <c r="C128">
        <v>120.35000000000178</v>
      </c>
      <c r="D128">
        <v>105.39999999999398</v>
      </c>
      <c r="E128">
        <v>145.45000000000346</v>
      </c>
      <c r="F128">
        <v>124.15000000000636</v>
      </c>
      <c r="G128" s="10">
        <v>1.2415000000000636</v>
      </c>
      <c r="H128" s="10">
        <v>0.98299999999999654</v>
      </c>
      <c r="I128" s="10">
        <v>1.1809999999997101</v>
      </c>
      <c r="J128" s="10">
        <v>1.21475000000001</v>
      </c>
      <c r="K128" s="10">
        <v>1.3194500000000289</v>
      </c>
      <c r="L128" s="10">
        <v>1.2534500000000188</v>
      </c>
      <c r="M128" s="10">
        <v>3.8804999999984653</v>
      </c>
      <c r="N128" s="10">
        <v>1.2145000000000008</v>
      </c>
      <c r="O128" s="10">
        <v>1.2275000000000063</v>
      </c>
    </row>
    <row r="129" spans="1:15" x14ac:dyDescent="0.25">
      <c r="A129" s="8">
        <v>46261</v>
      </c>
      <c r="C129">
        <v>120.59999999999744</v>
      </c>
      <c r="D129">
        <v>105.44999999999767</v>
      </c>
      <c r="E129">
        <v>145.74999999999631</v>
      </c>
      <c r="F129">
        <v>123.99000000000112</v>
      </c>
      <c r="G129" s="10">
        <v>1.2399000000000111</v>
      </c>
      <c r="H129" s="10">
        <v>0.98299999999998022</v>
      </c>
      <c r="I129" s="10">
        <v>1.1819999999997413</v>
      </c>
      <c r="J129" s="10">
        <v>1.2157000000000182</v>
      </c>
      <c r="K129" s="10">
        <v>1.3192999999999682</v>
      </c>
      <c r="L129" s="10">
        <v>1.254199999999956</v>
      </c>
      <c r="M129" s="10">
        <v>3.8879999999988515</v>
      </c>
      <c r="N129" s="10">
        <v>1.2189999999999714</v>
      </c>
      <c r="O129" s="10">
        <v>1.2311999999999819</v>
      </c>
    </row>
    <row r="130" spans="1:15" x14ac:dyDescent="0.25">
      <c r="A130" s="8">
        <v>46262</v>
      </c>
      <c r="C130">
        <v>120.80000000000022</v>
      </c>
      <c r="D130">
        <v>105.79999999999833</v>
      </c>
      <c r="E130">
        <v>146.45000000000482</v>
      </c>
      <c r="F130">
        <v>124.45000000000319</v>
      </c>
      <c r="G130" s="10">
        <v>1.2445000000000319</v>
      </c>
      <c r="H130" s="10">
        <v>0.98550000000001736</v>
      </c>
      <c r="I130" s="10">
        <v>1.1899999999998689</v>
      </c>
      <c r="J130" s="10">
        <v>1.2187999999995287</v>
      </c>
      <c r="K130" s="10">
        <v>1.3258999999999705</v>
      </c>
      <c r="L130" s="10">
        <v>1.2609999999999904</v>
      </c>
      <c r="M130" s="10">
        <v>3.8949999999989857</v>
      </c>
      <c r="N130" s="10">
        <v>1.2165000000000041</v>
      </c>
      <c r="O130" s="10">
        <v>1.2334999999999865</v>
      </c>
    </row>
    <row r="131" spans="1:15" x14ac:dyDescent="0.25">
      <c r="A131" s="4">
        <v>46265</v>
      </c>
      <c r="B131" s="10"/>
      <c r="C131">
        <v>121.15</v>
      </c>
      <c r="D131">
        <v>106.84999999999238</v>
      </c>
      <c r="E131">
        <v>146.94000000000119</v>
      </c>
      <c r="F131">
        <v>124.85000000000053</v>
      </c>
      <c r="G131" s="10">
        <v>1.2485000000000053</v>
      </c>
      <c r="H131" s="10">
        <v>0.9874999999999805</v>
      </c>
      <c r="I131" s="10">
        <v>1.2035000000000065</v>
      </c>
      <c r="J131" s="10">
        <v>1.2211999999996819</v>
      </c>
      <c r="K131" s="10">
        <v>1.3277000000000525</v>
      </c>
      <c r="L131" s="10">
        <v>1.2639999999999953</v>
      </c>
      <c r="M131" s="10">
        <v>3.8964999999983876</v>
      </c>
      <c r="N131" s="10">
        <v>1.2210000000000008</v>
      </c>
      <c r="O131" s="10">
        <v>1.2349999999999923</v>
      </c>
    </row>
    <row r="132" spans="1:15" x14ac:dyDescent="0.25">
      <c r="A132" s="4">
        <v>46266</v>
      </c>
      <c r="B132">
        <v>1.00906037</v>
      </c>
      <c r="C132" s="5">
        <v>1.2130007899999999</v>
      </c>
      <c r="D132">
        <v>1.06900032</v>
      </c>
      <c r="E132">
        <v>1.47186796</v>
      </c>
      <c r="F132">
        <v>1.2513122999999999</v>
      </c>
      <c r="G132">
        <v>1.2513122999999999</v>
      </c>
      <c r="H132" s="5">
        <v>0.98939814999999998</v>
      </c>
      <c r="I132" s="10">
        <v>121.6499999999932</v>
      </c>
      <c r="J132">
        <v>1.2227816600000001</v>
      </c>
      <c r="K132">
        <v>1.3298810999999999</v>
      </c>
      <c r="L132">
        <v>1.2646346799999999</v>
      </c>
      <c r="M132">
        <v>3.9192279999999999</v>
      </c>
      <c r="N132">
        <v>1.2169272499999999</v>
      </c>
      <c r="O132">
        <v>1.2377929000000001</v>
      </c>
    </row>
    <row r="133" spans="1:15" x14ac:dyDescent="0.25">
      <c r="A133" s="4">
        <v>46267</v>
      </c>
      <c r="B133">
        <v>1.0100603500000001</v>
      </c>
      <c r="C133" s="5">
        <v>1.2147051099999999</v>
      </c>
      <c r="D133">
        <v>1.0690074300000001</v>
      </c>
      <c r="E133">
        <v>1.47201179</v>
      </c>
      <c r="F133">
        <v>1.2529571399999999</v>
      </c>
      <c r="G133">
        <v>1.2529571399999999</v>
      </c>
      <c r="H133" s="5">
        <v>0.99174496000000001</v>
      </c>
      <c r="I133" s="5">
        <v>1.2075260000000001</v>
      </c>
      <c r="J133">
        <v>1.2238402399999999</v>
      </c>
      <c r="K133">
        <v>1.33226589</v>
      </c>
      <c r="L133">
        <v>1.26554419</v>
      </c>
      <c r="M133">
        <v>3.9397009000000001</v>
      </c>
      <c r="N133">
        <v>1.2199578900000001</v>
      </c>
      <c r="O133">
        <v>1.2384295299999999</v>
      </c>
    </row>
    <row r="134" spans="1:15" x14ac:dyDescent="0.25">
      <c r="A134" s="4">
        <v>46268</v>
      </c>
      <c r="B134">
        <v>1.01084299</v>
      </c>
      <c r="C134" s="5">
        <v>1.2157256599999999</v>
      </c>
      <c r="D134">
        <v>1.0687348400000001</v>
      </c>
      <c r="E134">
        <v>1.47362075</v>
      </c>
      <c r="F134">
        <v>1.25421118</v>
      </c>
      <c r="G134">
        <v>1.25421118</v>
      </c>
      <c r="H134" s="5">
        <v>0.99424604999999999</v>
      </c>
      <c r="I134" s="5">
        <v>1.20153475</v>
      </c>
      <c r="J134">
        <v>1.2249302799999999</v>
      </c>
      <c r="K134">
        <v>1.3337051600000001</v>
      </c>
      <c r="L134">
        <v>1.2674897700000001</v>
      </c>
      <c r="M134">
        <v>3.95347932</v>
      </c>
      <c r="N134">
        <v>1.22347926</v>
      </c>
      <c r="O134">
        <v>1.2404261400000001</v>
      </c>
    </row>
    <row r="135" spans="1:15" x14ac:dyDescent="0.25">
      <c r="A135" s="4">
        <v>46269</v>
      </c>
      <c r="B135">
        <v>1.0127881299999999</v>
      </c>
      <c r="C135" s="5">
        <v>1.2178138199999999</v>
      </c>
      <c r="D135">
        <v>1.0742336400000001</v>
      </c>
      <c r="E135">
        <v>1.4765107900000001</v>
      </c>
      <c r="F135">
        <v>1.2585695299999999</v>
      </c>
      <c r="G135">
        <v>1.2585695299999999</v>
      </c>
      <c r="H135" s="5">
        <v>0.99898215999999995</v>
      </c>
      <c r="I135" s="5">
        <v>1.2075780599999999</v>
      </c>
      <c r="J135">
        <v>1.2272383499999999</v>
      </c>
      <c r="K135">
        <v>1.33790498</v>
      </c>
      <c r="L135">
        <v>1.2687158999999999</v>
      </c>
      <c r="M135">
        <v>3.9560157</v>
      </c>
      <c r="N135">
        <v>1.229144</v>
      </c>
      <c r="O135">
        <v>1.24342201</v>
      </c>
    </row>
    <row r="136" spans="1:15" x14ac:dyDescent="0.25">
      <c r="A136" s="4">
        <v>46272</v>
      </c>
      <c r="B136">
        <v>1.0133567299999999</v>
      </c>
      <c r="C136" s="5">
        <v>1.2177763699999999</v>
      </c>
      <c r="D136">
        <v>1.0713623999999999</v>
      </c>
      <c r="E136">
        <v>1.46987329</v>
      </c>
      <c r="F136">
        <v>1.2595068899999999</v>
      </c>
      <c r="G136">
        <v>1.2595068899999999</v>
      </c>
      <c r="H136" s="5">
        <v>0.99773075</v>
      </c>
      <c r="I136" s="5">
        <v>1.2105391999999999</v>
      </c>
      <c r="J136">
        <v>1.2289346999999999</v>
      </c>
      <c r="K136">
        <v>1.33824331</v>
      </c>
      <c r="L136">
        <v>1.26933221</v>
      </c>
      <c r="M136">
        <v>3.9592439100000001</v>
      </c>
      <c r="N136">
        <v>1.2303535999999999</v>
      </c>
      <c r="O136">
        <v>1.2448657999999999</v>
      </c>
    </row>
    <row r="137" spans="1:15" x14ac:dyDescent="0.25">
      <c r="A137" s="4">
        <v>46273</v>
      </c>
      <c r="B137">
        <v>1.01323655</v>
      </c>
      <c r="C137" s="5">
        <v>1.2177810499999999</v>
      </c>
      <c r="D137">
        <v>1.0716682</v>
      </c>
      <c r="E137">
        <v>1.4748975499999999</v>
      </c>
      <c r="F137">
        <v>1.2577613400000001</v>
      </c>
      <c r="G137">
        <v>1.2577613400000001</v>
      </c>
      <c r="H137" s="5">
        <v>0.99844274</v>
      </c>
      <c r="I137" s="5">
        <v>1.2125095699999999</v>
      </c>
      <c r="J137">
        <v>1.22905825</v>
      </c>
      <c r="K137">
        <v>1.3382574899999999</v>
      </c>
      <c r="L137">
        <v>1.27103747</v>
      </c>
      <c r="M137">
        <v>3.9737443400000001</v>
      </c>
      <c r="N137">
        <v>1.23</v>
      </c>
      <c r="O137">
        <v>1.2462282225646</v>
      </c>
    </row>
    <row r="138" spans="1:15" x14ac:dyDescent="0.25">
      <c r="A138" s="4">
        <v>46274</v>
      </c>
      <c r="B138">
        <v>1.0115057599999999</v>
      </c>
      <c r="C138" s="5">
        <v>1.21875841</v>
      </c>
      <c r="D138">
        <v>1.0749949999999999</v>
      </c>
      <c r="E138">
        <v>1.4749056899999999</v>
      </c>
      <c r="F138">
        <v>1.25681132</v>
      </c>
      <c r="G138">
        <v>1.25681132</v>
      </c>
      <c r="H138" s="5">
        <v>0.99758399999999992</v>
      </c>
      <c r="I138" s="5">
        <v>1.2110000000000001</v>
      </c>
      <c r="J138">
        <v>1.2284157899999999</v>
      </c>
      <c r="K138">
        <v>1.3364771</v>
      </c>
      <c r="L138">
        <v>1.2679330499999999</v>
      </c>
      <c r="M138">
        <v>3.9671134600000002</v>
      </c>
      <c r="N138">
        <v>1.2315876800000001</v>
      </c>
      <c r="O138">
        <v>1.2453557799999999</v>
      </c>
    </row>
    <row r="139" spans="1:15" x14ac:dyDescent="0.25">
      <c r="A139" s="4">
        <v>46275</v>
      </c>
      <c r="B139">
        <v>1.0156021799999999</v>
      </c>
      <c r="C139" s="5">
        <v>1.2171409900000001</v>
      </c>
      <c r="D139">
        <v>1.07449996</v>
      </c>
      <c r="E139">
        <v>1.47846571</v>
      </c>
      <c r="F139">
        <v>1.2607528299999999</v>
      </c>
      <c r="G139">
        <v>1.2607528299999999</v>
      </c>
      <c r="H139" s="5">
        <v>0.99770473999999998</v>
      </c>
      <c r="I139" s="5">
        <v>1.2090000000000001</v>
      </c>
      <c r="J139">
        <v>1.2302787399999999</v>
      </c>
      <c r="K139">
        <v>1.3407502899999999</v>
      </c>
      <c r="L139">
        <v>1.2725215599999999</v>
      </c>
      <c r="M139">
        <v>3.9624615599999999</v>
      </c>
      <c r="N139">
        <v>1.2250563999999999</v>
      </c>
      <c r="O139">
        <v>1.2462244</v>
      </c>
    </row>
    <row r="140" spans="1:15" x14ac:dyDescent="0.25">
      <c r="A140" s="4">
        <v>46276</v>
      </c>
      <c r="B140">
        <v>1.0171820300000001</v>
      </c>
      <c r="C140" s="5">
        <v>1.22005713</v>
      </c>
      <c r="D140">
        <v>1.0730103600000001</v>
      </c>
      <c r="E140">
        <v>1.48303425</v>
      </c>
      <c r="F140">
        <v>1.2616848199999999</v>
      </c>
      <c r="G140">
        <v>1.2616848199999999</v>
      </c>
      <c r="H140" s="5">
        <v>1.00047303</v>
      </c>
      <c r="I140" s="5">
        <v>1.2105345000000001</v>
      </c>
      <c r="J140">
        <v>1.23192268</v>
      </c>
      <c r="K140">
        <v>1.3419946</v>
      </c>
      <c r="L140">
        <v>1.2753461699999999</v>
      </c>
      <c r="M140">
        <v>3.9727677400000001</v>
      </c>
      <c r="N140">
        <v>1.23002079</v>
      </c>
      <c r="O140">
        <v>1.24903546</v>
      </c>
    </row>
    <row r="141" spans="1:15" x14ac:dyDescent="0.25">
      <c r="A141" s="4">
        <v>46279</v>
      </c>
      <c r="B141">
        <v>1.0194176500000001</v>
      </c>
      <c r="C141" s="5">
        <v>1.22405823</v>
      </c>
      <c r="D141">
        <v>1.0804226100000001</v>
      </c>
      <c r="E141">
        <v>1.48588655</v>
      </c>
      <c r="F141">
        <v>1.2666343</v>
      </c>
      <c r="G141">
        <v>1.2666343</v>
      </c>
      <c r="H141" s="5">
        <v>1.0060696</v>
      </c>
      <c r="I141" s="5">
        <v>1.2153985300000001</v>
      </c>
      <c r="J141">
        <v>1.2354439699999999</v>
      </c>
      <c r="K141">
        <v>1.34450995</v>
      </c>
      <c r="L141">
        <v>1.27760388</v>
      </c>
      <c r="M141">
        <v>3.9954635999999999</v>
      </c>
      <c r="N141">
        <v>1.24151338</v>
      </c>
      <c r="O141">
        <v>1.25289889</v>
      </c>
    </row>
    <row r="142" spans="1:15" x14ac:dyDescent="0.25">
      <c r="A142" s="4">
        <v>46280</v>
      </c>
      <c r="B142">
        <v>1.02044128</v>
      </c>
      <c r="C142" s="5">
        <v>1.2258720400000001</v>
      </c>
      <c r="D142">
        <v>1.0821337499999999</v>
      </c>
      <c r="E142">
        <v>1.48790837</v>
      </c>
      <c r="F142">
        <v>1.26531796</v>
      </c>
      <c r="G142">
        <v>1.26531796</v>
      </c>
      <c r="H142" s="5">
        <v>1.0074688599999999</v>
      </c>
      <c r="I142" s="5">
        <v>1.22277905</v>
      </c>
      <c r="J142">
        <v>1.2365159999999999</v>
      </c>
      <c r="K142">
        <v>1.34564097</v>
      </c>
      <c r="L142">
        <v>1.2780193399999999</v>
      </c>
      <c r="M142">
        <v>4.0055003100000004</v>
      </c>
      <c r="N142">
        <v>1.24550297</v>
      </c>
      <c r="O142">
        <v>1.2540483200000001</v>
      </c>
    </row>
    <row r="143" spans="1:15" x14ac:dyDescent="0.25">
      <c r="A143" s="4">
        <v>46281</v>
      </c>
      <c r="B143">
        <v>1.02140539</v>
      </c>
      <c r="C143" s="5">
        <v>1.22719931</v>
      </c>
      <c r="D143">
        <v>1.08499287</v>
      </c>
      <c r="E143">
        <v>1.4886435099999999</v>
      </c>
      <c r="F143">
        <v>1.2667624900000001</v>
      </c>
      <c r="G143">
        <v>1.2667624900000001</v>
      </c>
      <c r="H143" s="5">
        <v>1.0089119499999999</v>
      </c>
      <c r="I143" s="5">
        <v>1.22891895</v>
      </c>
      <c r="J143">
        <v>1.2379524099999999</v>
      </c>
      <c r="K143">
        <v>1.3460999</v>
      </c>
      <c r="L143">
        <v>1.2794401099999999</v>
      </c>
      <c r="M143">
        <v>4.0296776000000003</v>
      </c>
      <c r="N143">
        <v>1.2507881199999999</v>
      </c>
      <c r="O143">
        <v>1.25687583</v>
      </c>
    </row>
    <row r="144" spans="1:15" x14ac:dyDescent="0.25">
      <c r="A144" s="4">
        <v>46282</v>
      </c>
      <c r="B144">
        <v>1.0235362400000001</v>
      </c>
      <c r="C144" s="5">
        <v>1.22855866</v>
      </c>
      <c r="D144">
        <v>1.08743849</v>
      </c>
      <c r="E144">
        <v>1.49184129</v>
      </c>
      <c r="F144">
        <v>1.26914003</v>
      </c>
      <c r="G144">
        <v>1.26914003</v>
      </c>
      <c r="H144" s="5">
        <v>1.01114254</v>
      </c>
      <c r="I144" s="5">
        <v>1.23183869</v>
      </c>
      <c r="J144">
        <v>1.2397538800000001</v>
      </c>
      <c r="K144">
        <v>1.3498274699999999</v>
      </c>
      <c r="L144">
        <v>1.28144792</v>
      </c>
      <c r="M144">
        <v>4.04088227</v>
      </c>
      <c r="N144">
        <v>1.2501676100000001</v>
      </c>
      <c r="O144">
        <v>1.25794154</v>
      </c>
    </row>
    <row r="145" spans="1:15" x14ac:dyDescent="0.25">
      <c r="A145" s="4">
        <v>46283</v>
      </c>
      <c r="B145">
        <v>1.0260089699999999</v>
      </c>
      <c r="C145" s="5">
        <v>1.23204487</v>
      </c>
      <c r="D145">
        <v>1.09631334</v>
      </c>
      <c r="E145">
        <v>1.49517514</v>
      </c>
      <c r="F145">
        <v>1.2733092399999999</v>
      </c>
      <c r="G145">
        <v>1.2733092399999999</v>
      </c>
      <c r="H145" s="5">
        <v>1.0129376000000001</v>
      </c>
      <c r="I145" s="5">
        <v>1.2382925</v>
      </c>
      <c r="J145">
        <v>1.2423725800000001</v>
      </c>
      <c r="K145">
        <v>1.35145396</v>
      </c>
      <c r="L145">
        <v>1.28285122</v>
      </c>
      <c r="M145">
        <v>4.06846934</v>
      </c>
      <c r="N145">
        <v>1.2505011100000001</v>
      </c>
      <c r="O145">
        <v>1.2604560199999999</v>
      </c>
    </row>
    <row r="146" spans="1:15" x14ac:dyDescent="0.25">
      <c r="A146" s="4">
        <v>46286</v>
      </c>
      <c r="B146">
        <v>1.0249857200000001</v>
      </c>
      <c r="C146" s="5">
        <v>1.2316546799999999</v>
      </c>
      <c r="D146">
        <v>1.0946988600000001</v>
      </c>
      <c r="E146">
        <v>1.49389584</v>
      </c>
      <c r="F146">
        <v>1.2723530999999999</v>
      </c>
      <c r="G146">
        <v>1.2723530999999999</v>
      </c>
      <c r="H146" s="5">
        <v>1.0114465399999999</v>
      </c>
      <c r="I146" s="5">
        <v>1.2340932099999999</v>
      </c>
      <c r="J146">
        <v>1.24243803</v>
      </c>
      <c r="K146">
        <v>1.3505734700000001</v>
      </c>
      <c r="L146">
        <v>1.28300897</v>
      </c>
      <c r="M146">
        <v>4.0488869200000002</v>
      </c>
      <c r="N146">
        <v>1.2535023700000001</v>
      </c>
      <c r="O146">
        <v>1.26070404</v>
      </c>
    </row>
    <row r="147" spans="1:15" x14ac:dyDescent="0.25">
      <c r="A147" s="4">
        <v>46287</v>
      </c>
      <c r="B147">
        <v>1.0253491100000001</v>
      </c>
      <c r="C147" s="5">
        <v>1.2316048500000001</v>
      </c>
      <c r="D147">
        <v>1.08999808</v>
      </c>
      <c r="E147">
        <v>1.4940571</v>
      </c>
      <c r="F147">
        <v>1.2718339400000001</v>
      </c>
      <c r="G147">
        <v>1.2718339400000001</v>
      </c>
      <c r="H147" s="5">
        <v>1.01226349</v>
      </c>
      <c r="I147" s="5">
        <v>1.2315646899999999</v>
      </c>
      <c r="J147">
        <v>1.2424581299999999</v>
      </c>
      <c r="K147">
        <v>1.3507939900000001</v>
      </c>
      <c r="L147">
        <v>1.28149376</v>
      </c>
      <c r="M147">
        <v>4.0369820399999998</v>
      </c>
      <c r="N147">
        <v>1.25192474</v>
      </c>
      <c r="O147">
        <v>1.2606395699999999</v>
      </c>
    </row>
    <row r="148" spans="1:15" x14ac:dyDescent="0.25">
      <c r="A148" s="4">
        <v>46288</v>
      </c>
      <c r="B148">
        <v>1.0240504800000001</v>
      </c>
      <c r="C148" s="5">
        <v>1.2308570400000001</v>
      </c>
      <c r="D148">
        <v>1.09026702</v>
      </c>
      <c r="E148">
        <v>1.4939936199999999</v>
      </c>
      <c r="F148">
        <v>1.26972865</v>
      </c>
      <c r="G148">
        <v>1.26972865</v>
      </c>
      <c r="H148" s="5">
        <v>1.0113740099999999</v>
      </c>
      <c r="I148" s="5">
        <v>1.2301632499999999</v>
      </c>
      <c r="J148">
        <v>1.2429414299999999</v>
      </c>
      <c r="K148">
        <v>1.3492921600000001</v>
      </c>
      <c r="L148">
        <v>1.2815449699999999</v>
      </c>
      <c r="M148">
        <v>4.03251793</v>
      </c>
      <c r="N148">
        <v>1.2503633599999999</v>
      </c>
      <c r="O148">
        <v>1.26129709</v>
      </c>
    </row>
    <row r="149" spans="1:15" x14ac:dyDescent="0.25">
      <c r="A149" s="4">
        <v>46289</v>
      </c>
      <c r="B149">
        <v>1.02456668</v>
      </c>
      <c r="C149" s="5">
        <v>1.23299767</v>
      </c>
      <c r="D149">
        <v>1.0917816499999999</v>
      </c>
      <c r="E149">
        <v>1.49460317</v>
      </c>
      <c r="F149">
        <v>1.2679350199999999</v>
      </c>
      <c r="G149">
        <v>1.2679350199999999</v>
      </c>
      <c r="H149" s="5">
        <v>1.01355576</v>
      </c>
      <c r="I149" s="5">
        <v>1.2290459600000001</v>
      </c>
      <c r="J149">
        <v>1.2441817799999999</v>
      </c>
      <c r="K149">
        <v>1.3479110400000001</v>
      </c>
      <c r="L149">
        <v>1.2796838800000001</v>
      </c>
      <c r="M149">
        <v>4.0260275500000002</v>
      </c>
      <c r="N149">
        <v>1.2430008400000001</v>
      </c>
      <c r="O149">
        <v>1.2624856600000001</v>
      </c>
    </row>
    <row r="150" spans="1:15" x14ac:dyDescent="0.25">
      <c r="A150" s="4">
        <v>46290</v>
      </c>
      <c r="B150">
        <v>1.0266372500000001</v>
      </c>
      <c r="C150" s="5">
        <v>1.23756672</v>
      </c>
      <c r="D150">
        <v>1.09202855</v>
      </c>
      <c r="E150">
        <v>1.4954674699999999</v>
      </c>
      <c r="F150">
        <v>1.26970279</v>
      </c>
      <c r="G150">
        <v>1.26970279</v>
      </c>
      <c r="H150" s="5">
        <v>1.0173794300000001</v>
      </c>
      <c r="I150" s="5">
        <v>1.22755076</v>
      </c>
      <c r="J150">
        <v>1.24693685</v>
      </c>
      <c r="K150">
        <v>1.3493975899999999</v>
      </c>
      <c r="L150">
        <v>1.2844502499999999</v>
      </c>
      <c r="M150">
        <v>4.0183252899999999</v>
      </c>
      <c r="N150">
        <v>1.2490924465058999</v>
      </c>
      <c r="O150">
        <v>1.2646537799999999</v>
      </c>
    </row>
    <row r="151" spans="1:15" x14ac:dyDescent="0.25">
      <c r="A151" s="4">
        <f>+WORKDAY(A150,1,Feriados!$A$2:$A$38)</f>
        <v>46293</v>
      </c>
      <c r="B151">
        <v>1.0268137500000001</v>
      </c>
      <c r="C151" s="5">
        <v>1.2389035100000001</v>
      </c>
      <c r="D151">
        <v>1.0912433500000001</v>
      </c>
      <c r="E151">
        <v>1.4964230700000001</v>
      </c>
      <c r="F151">
        <v>1.2672363799999999</v>
      </c>
      <c r="G151">
        <v>1.2672363799999999</v>
      </c>
      <c r="H151" s="5">
        <v>1.01737356</v>
      </c>
      <c r="I151" s="5">
        <v>1.23092727</v>
      </c>
      <c r="J151">
        <v>1.2469439899999999</v>
      </c>
      <c r="K151">
        <v>1.3470452900000001</v>
      </c>
      <c r="L151">
        <v>1.2805150000000001</v>
      </c>
      <c r="M151">
        <v>4.0270874499999998</v>
      </c>
      <c r="N151">
        <v>1.25957461</v>
      </c>
      <c r="O151">
        <v>1.26614878</v>
      </c>
    </row>
    <row r="152" spans="1:15" x14ac:dyDescent="0.25">
      <c r="A152" s="4">
        <f>+WORKDAY(A151,1,Feriados!$A$2:$A$38)</f>
        <v>46294</v>
      </c>
      <c r="B152">
        <v>1.02808225</v>
      </c>
      <c r="C152" s="5">
        <v>1.2374037200000001</v>
      </c>
      <c r="D152">
        <v>1.08950003</v>
      </c>
      <c r="E152">
        <v>1.49537925</v>
      </c>
      <c r="F152">
        <v>1.2681650499999999</v>
      </c>
      <c r="G152">
        <v>1.2681650499999999</v>
      </c>
      <c r="H152" s="5">
        <v>1.01798637</v>
      </c>
      <c r="I152" s="5">
        <v>1.22842539</v>
      </c>
      <c r="J152">
        <v>1.2482832399999999</v>
      </c>
      <c r="K152">
        <v>1.34858872</v>
      </c>
      <c r="L152">
        <v>1.2803557299999999</v>
      </c>
      <c r="M152">
        <v>4.0389832800000001</v>
      </c>
      <c r="N152">
        <v>1.2490000000000001</v>
      </c>
      <c r="O152">
        <v>1.2669357299999999</v>
      </c>
    </row>
    <row r="153" spans="1:15" x14ac:dyDescent="0.25">
      <c r="A153" s="4">
        <f>+WORKDAY(A152,1,Feriados!$A$2:$A$38)</f>
        <v>46295</v>
      </c>
      <c r="B153">
        <v>1.0294134500000001</v>
      </c>
      <c r="C153" s="5">
        <v>1.2382487799999999</v>
      </c>
      <c r="D153">
        <v>1.09140441</v>
      </c>
      <c r="E153">
        <v>1.4983319500000001</v>
      </c>
      <c r="F153">
        <v>1.2717833300000001</v>
      </c>
      <c r="G153">
        <v>1.2717833300000001</v>
      </c>
      <c r="H153" s="5">
        <v>1.0209493199999999</v>
      </c>
      <c r="I153" s="5">
        <v>1.2336243200000001</v>
      </c>
      <c r="J153">
        <v>1.2495673300000001</v>
      </c>
      <c r="K153">
        <v>1.3505428799999999</v>
      </c>
      <c r="L153">
        <v>1.2849759700000001</v>
      </c>
      <c r="M153">
        <v>4.0563561100000003</v>
      </c>
      <c r="N153">
        <v>1.2612042400000001</v>
      </c>
      <c r="O153">
        <v>1.2695935</v>
      </c>
    </row>
    <row r="154" spans="1:15" x14ac:dyDescent="0.25">
      <c r="A154" s="4">
        <f>+WORKDAY(A153,1,Feriados!$A$2:$A$38)</f>
        <v>46296</v>
      </c>
      <c r="B154">
        <v>1.03125109</v>
      </c>
      <c r="C154" s="5">
        <v>1.2417132399999999</v>
      </c>
      <c r="D154">
        <v>1.093718</v>
      </c>
      <c r="E154">
        <v>1.5004969800000001</v>
      </c>
      <c r="F154">
        <v>1.2719944599999999</v>
      </c>
      <c r="G154">
        <v>1.2719944599999999</v>
      </c>
      <c r="H154" s="5">
        <v>1.0234993400000001</v>
      </c>
      <c r="I154" s="5">
        <v>1.2413334300000001</v>
      </c>
      <c r="J154">
        <v>1.25193624</v>
      </c>
      <c r="K154">
        <v>1.35353996</v>
      </c>
      <c r="L154">
        <v>1.28608604</v>
      </c>
      <c r="M154">
        <v>4.0714517199999998</v>
      </c>
      <c r="N154">
        <v>1.26743049</v>
      </c>
      <c r="O154">
        <v>1.2704156900000001</v>
      </c>
    </row>
    <row r="155" spans="1:15" x14ac:dyDescent="0.25">
      <c r="A155" s="4">
        <f>+WORKDAY(A154,1,Feriados!$A$2:$A$38)</f>
        <v>46297</v>
      </c>
      <c r="B155">
        <v>1.034098</v>
      </c>
      <c r="C155" s="5">
        <v>1.24830782</v>
      </c>
      <c r="D155">
        <v>1.09451115</v>
      </c>
      <c r="E155">
        <v>1.50454106</v>
      </c>
      <c r="F155">
        <v>1.2774154</v>
      </c>
      <c r="G155">
        <v>1.2774154</v>
      </c>
      <c r="H155" s="5">
        <v>1.0262334500000001</v>
      </c>
      <c r="I155" s="5">
        <v>1.2449642299999999</v>
      </c>
      <c r="J155">
        <v>1.2542973500000001</v>
      </c>
      <c r="K155">
        <v>1.3561210500000001</v>
      </c>
      <c r="L155">
        <v>1.2912119900000001</v>
      </c>
      <c r="M155">
        <v>4.0712235899999998</v>
      </c>
      <c r="N155">
        <v>1.2653342400000001</v>
      </c>
      <c r="O155">
        <v>1.27322231</v>
      </c>
    </row>
    <row r="156" spans="1:15" x14ac:dyDescent="0.25">
      <c r="A156" s="4">
        <f>+WORKDAY(A155,1,Feriados!$A$2:$A$38)</f>
        <v>46300</v>
      </c>
      <c r="B156">
        <v>1.0356566199999999</v>
      </c>
      <c r="C156" s="5">
        <v>1.2505858299999999</v>
      </c>
      <c r="D156">
        <v>1.0940564699999999</v>
      </c>
      <c r="E156">
        <v>1.5063051999999999</v>
      </c>
      <c r="F156">
        <v>1.2804176300000001</v>
      </c>
      <c r="G156">
        <v>1.2804176300000001</v>
      </c>
      <c r="H156">
        <v>1.0272334599999999</v>
      </c>
      <c r="I156">
        <v>1.24899917</v>
      </c>
      <c r="J156">
        <v>1.2550632399999999</v>
      </c>
      <c r="K156">
        <v>1.3539822399999999</v>
      </c>
      <c r="L156">
        <v>1.2890465900000001</v>
      </c>
      <c r="M156">
        <v>4.0846097800000001</v>
      </c>
      <c r="N156">
        <v>1.2798166900000001</v>
      </c>
      <c r="O156">
        <v>1.27487241</v>
      </c>
    </row>
    <row r="157" spans="1:15" x14ac:dyDescent="0.25">
      <c r="A157" s="4">
        <f>+WORKDAY(A156,1,Feriados!$A$2:$A$38)</f>
        <v>46301</v>
      </c>
      <c r="B157">
        <v>1.03645627</v>
      </c>
      <c r="C157">
        <v>1.2508325600000001</v>
      </c>
      <c r="D157">
        <v>1.09775508</v>
      </c>
      <c r="E157">
        <v>1.5070904899999999</v>
      </c>
      <c r="F157">
        <v>1.2822477234033001</v>
      </c>
      <c r="G157">
        <v>1.2822477234033001</v>
      </c>
      <c r="H157">
        <v>1.0288155000000001</v>
      </c>
      <c r="I157">
        <v>1.2497534400000001</v>
      </c>
      <c r="J157">
        <v>1.2552875400000001</v>
      </c>
      <c r="K157">
        <v>1.3604319</v>
      </c>
      <c r="L157">
        <v>1.29508263</v>
      </c>
      <c r="M157">
        <v>4.0900729399999998</v>
      </c>
      <c r="N157">
        <v>1.2722120800000001</v>
      </c>
      <c r="O157">
        <v>1.2755211200000001</v>
      </c>
    </row>
    <row r="158" spans="1:15" x14ac:dyDescent="0.25">
      <c r="A158" s="4">
        <f>+WORKDAY(A157,1,Feriados!$A$2:$A$38)</f>
        <v>46302</v>
      </c>
      <c r="B158">
        <v>1.0368340300000001</v>
      </c>
      <c r="C158">
        <v>1.24982745</v>
      </c>
      <c r="D158">
        <v>1.10071407</v>
      </c>
      <c r="E158">
        <v>1.5086614</v>
      </c>
      <c r="F158">
        <v>1.2838353899999999</v>
      </c>
      <c r="G158">
        <v>1.2838353899999999</v>
      </c>
      <c r="H158">
        <v>1.0285748800000001</v>
      </c>
      <c r="I158">
        <v>1.2525073600000001</v>
      </c>
      <c r="J158">
        <v>1.2563465</v>
      </c>
      <c r="K158">
        <v>1.3638211099999999</v>
      </c>
      <c r="L158">
        <v>1.2972002300000001</v>
      </c>
      <c r="M158">
        <v>4.0877081000000004</v>
      </c>
      <c r="N158">
        <v>1.2782489500000001</v>
      </c>
      <c r="O158">
        <v>1.27552815</v>
      </c>
    </row>
    <row r="159" spans="1:15" x14ac:dyDescent="0.25">
      <c r="A159" s="4">
        <f>+WORKDAY(A158,1,Feriados!$A$2:$A$38)</f>
        <v>46303</v>
      </c>
      <c r="B159">
        <v>1.0378953</v>
      </c>
      <c r="C159">
        <v>1.25065581</v>
      </c>
      <c r="D159">
        <v>1.1008573500000001</v>
      </c>
      <c r="E159">
        <v>1.5098224</v>
      </c>
      <c r="F159">
        <v>1.284648</v>
      </c>
      <c r="G159">
        <v>1.284648</v>
      </c>
      <c r="H159">
        <v>1.0286919000000001</v>
      </c>
      <c r="I159">
        <v>1.2515807800000001</v>
      </c>
      <c r="J159">
        <v>1.2574978000000001</v>
      </c>
      <c r="K159">
        <v>1.3664060499999999</v>
      </c>
      <c r="L159">
        <v>1.30047062</v>
      </c>
      <c r="M159">
        <v>4.0897800000000002</v>
      </c>
      <c r="N159">
        <v>1.277136</v>
      </c>
      <c r="O159">
        <v>1.2763398500000001</v>
      </c>
    </row>
    <row r="160" spans="1:15" x14ac:dyDescent="0.25">
      <c r="A160" s="4">
        <f>+WORKDAY(A159,1,Feriados!$A$2:$A$38)</f>
        <v>46304</v>
      </c>
      <c r="B160">
        <v>1.0415968799999999</v>
      </c>
      <c r="C160">
        <v>1.2552227199999999</v>
      </c>
      <c r="D160">
        <v>1.10295125</v>
      </c>
      <c r="E160">
        <v>1.51388945</v>
      </c>
      <c r="F160">
        <v>1.2905880999999999</v>
      </c>
      <c r="G160">
        <v>1.2905880999999999</v>
      </c>
      <c r="H160">
        <v>1.0299231099999999</v>
      </c>
      <c r="I160">
        <v>1.25329863</v>
      </c>
      <c r="J160">
        <v>1.26211111</v>
      </c>
      <c r="K160">
        <v>1.36954767</v>
      </c>
      <c r="L160">
        <v>1.3063048799999999</v>
      </c>
      <c r="M160">
        <v>4.0949929899999997</v>
      </c>
      <c r="N160">
        <v>1.27508665</v>
      </c>
      <c r="O160">
        <v>1.27997136</v>
      </c>
    </row>
    <row r="161" spans="1:15" x14ac:dyDescent="0.25">
      <c r="A161" s="4">
        <f>+WORKDAY(A160,1,Feriados!$A$2:$A$38)</f>
        <v>46308</v>
      </c>
      <c r="B161">
        <v>1.0406137799999999</v>
      </c>
      <c r="C161">
        <v>1.25371196</v>
      </c>
      <c r="D161">
        <v>1.1039651500000001</v>
      </c>
      <c r="E161">
        <v>1.51469338</v>
      </c>
      <c r="F161">
        <v>1.2911038800000001</v>
      </c>
      <c r="G161">
        <v>1.2911038800000001</v>
      </c>
      <c r="H161">
        <v>1.0300585799999999</v>
      </c>
      <c r="I161">
        <v>1.25503353</v>
      </c>
      <c r="J161">
        <v>1.2606297799999999</v>
      </c>
      <c r="K161">
        <v>1.3711843500000001</v>
      </c>
      <c r="L161">
        <v>1.3084733</v>
      </c>
      <c r="M161">
        <v>4.1012386899999997</v>
      </c>
      <c r="N161">
        <v>1.2767506399999999</v>
      </c>
      <c r="O161">
        <v>1.2802404700000001</v>
      </c>
    </row>
    <row r="162" spans="1:15" x14ac:dyDescent="0.25">
      <c r="A162" s="4">
        <f>+WORKDAY(A161,1,Feriados!$A$2:$A$38)</f>
        <v>46309</v>
      </c>
      <c r="B162">
        <f>INDEX('[1]Precios historicos'!$A:$AZ,MATCH(B$1,'[1]Precios historicos'!$A:$A,0),MATCH($A162,'[1]Precios historicos'!$7:$7,0))</f>
        <v>1.04013471</v>
      </c>
      <c r="C162">
        <f>INDEX('[1]Precios historicos'!$A:$AZ,MATCH(C$1,'[1]Precios historicos'!$A:$A,0),MATCH($A162,'[1]Precios historicos'!$7:$7,0))</f>
        <v>1.25551919</v>
      </c>
      <c r="D162">
        <f>INDEX('[1]Precios historicos'!$A:$AZ,MATCH(D$1,'[1]Precios historicos'!$A:$A,0),MATCH($A162,'[1]Precios historicos'!$7:$7,0))</f>
        <v>1.1058990500000001</v>
      </c>
      <c r="E162">
        <f>INDEX('[1]Precios historicos'!$A:$AZ,MATCH(E$1,'[1]Precios historicos'!$A:$A,0),MATCH($A162,'[1]Precios historicos'!$7:$7,0))</f>
        <v>1.51396376</v>
      </c>
      <c r="F162">
        <f>INDEX('[1]Precios historicos'!$A:$AZ,MATCH(F$1,'[1]Precios historicos'!$A:$A,0),MATCH($A162,'[1]Precios historicos'!$7:$7,0))</f>
        <v>1.291304</v>
      </c>
      <c r="G162">
        <v>1.291304</v>
      </c>
      <c r="H162">
        <v>1.0310101599999999</v>
      </c>
      <c r="I162">
        <v>1.2571690799999999</v>
      </c>
      <c r="J162">
        <v>1.26006102</v>
      </c>
      <c r="K162">
        <v>1.37126331</v>
      </c>
      <c r="L162">
        <v>1.3090459999999999</v>
      </c>
      <c r="M162">
        <v>4.1108232600000001</v>
      </c>
      <c r="N162">
        <v>1.2759046999999999</v>
      </c>
      <c r="O162">
        <v>1.2795586299999999</v>
      </c>
    </row>
    <row r="163" spans="1:15" x14ac:dyDescent="0.25">
      <c r="A163" s="4">
        <f>+WORKDAY(A162,1,Feriados!$A$2:$A$38)</f>
        <v>46310</v>
      </c>
      <c r="B163">
        <f>INDEX('[1]Precios historicos'!$A:$AZ,MATCH(B$1,'[1]Precios historicos'!$A:$A,0),MATCH($A163,'[1]Precios historicos'!$7:$7,0))</f>
        <v>1.0380406799999999</v>
      </c>
      <c r="C163">
        <f>INDEX('[1]Precios historicos'!$A:$AZ,MATCH(C$1,'[1]Precios historicos'!$A:$A,0),MATCH($A163,'[1]Precios historicos'!$7:$7,0))</f>
        <v>1.2569410700000001</v>
      </c>
      <c r="D163">
        <f>INDEX('[1]Precios historicos'!$A:$AZ,MATCH(D$1,'[1]Precios historicos'!$A:$A,0),MATCH($A163,'[1]Precios historicos'!$7:$7,0))</f>
        <v>1.11006571</v>
      </c>
      <c r="E163">
        <f>INDEX('[1]Precios historicos'!$A:$AZ,MATCH(E$1,'[1]Precios historicos'!$A:$A,0),MATCH($A163,'[1]Precios historicos'!$7:$7,0))</f>
        <v>1.51818404</v>
      </c>
      <c r="F163">
        <f>INDEX('[1]Precios historicos'!$A:$AZ,MATCH(F$1,'[1]Precios historicos'!$A:$A,0),MATCH($A163,'[1]Precios historicos'!$7:$7,0))</f>
        <v>1.29516952</v>
      </c>
      <c r="G163">
        <v>1.29516952</v>
      </c>
      <c r="H163">
        <v>1.0331343399999999</v>
      </c>
      <c r="I163">
        <v>1.2612713499999999</v>
      </c>
      <c r="J163">
        <v>1.2619768200000001</v>
      </c>
      <c r="K163">
        <v>1.3748229700000001</v>
      </c>
      <c r="L163">
        <v>1.3161225700000001</v>
      </c>
      <c r="M163">
        <v>4.1311680300000004</v>
      </c>
      <c r="N163">
        <v>1.27900002</v>
      </c>
      <c r="O163">
        <v>1.2819699200000001</v>
      </c>
    </row>
    <row r="164" spans="1:15" x14ac:dyDescent="0.25">
      <c r="A164" s="4">
        <f>+WORKDAY(A163,1,Feriados!$A$2:$A$38)</f>
        <v>46311</v>
      </c>
      <c r="B164">
        <f>INDEX('[2]Precios Históricos'!$A:$AZ,MATCH(B$1,'[2]Precios Históricos'!$B:$B,0),MATCH($A164,'[2]Precios Históricos'!$6:$6,0))</f>
        <v>1.0465052399999999</v>
      </c>
      <c r="C164">
        <f>INDEX('[2]Precios Históricos'!$A:$AZ,MATCH(C$1,'[2]Precios Históricos'!$B:$B,0),MATCH($A164,'[2]Precios Históricos'!$6:$6,0))</f>
        <v>1.2600124800000001</v>
      </c>
      <c r="D164">
        <f>INDEX('[2]Precios Históricos'!$A:$AZ,MATCH(D$1,'[2]Precios Históricos'!$B:$B,0),MATCH($A164,'[2]Precios Históricos'!$6:$6,0))</f>
        <v>1.1138335500000001</v>
      </c>
      <c r="E164">
        <f>INDEX('[2]Precios Históricos'!$A:$AZ,MATCH(E$1,'[2]Precios Históricos'!$B:$B,0),MATCH($A164,'[2]Precios Históricos'!$6:$6,0))</f>
        <v>1.5226219299999999</v>
      </c>
      <c r="F164">
        <f>INDEX('[2]Precios Históricos'!$A:$AZ,MATCH(F$1,'[2]Precios Históricos'!$B:$B,0),MATCH($A164,'[2]Precios Históricos'!$6:$6,0))</f>
        <v>1.29837176</v>
      </c>
      <c r="G164">
        <f>INDEX('[2]Precios Históricos'!$A:$AZ,MATCH(G$1,'[2]Precios Históricos'!$B:$B,0),MATCH($A164,'[2]Precios Históricos'!$6:$6,0))</f>
        <v>1.29837176</v>
      </c>
      <c r="H164">
        <f>INDEX('[2]Precios Históricos'!$A:$AZ,MATCH(H$1,'[2]Precios Históricos'!$B:$B,0),MATCH($A164,'[2]Precios Históricos'!$6:$6,0))</f>
        <v>1.03549508</v>
      </c>
      <c r="I164">
        <f>INDEX('[2]Precios Históricos'!$A:$AZ,MATCH(I$1,'[2]Precios Históricos'!$B:$B,0),MATCH($A164,'[2]Precios Históricos'!$6:$6,0))</f>
        <v>1.26553798</v>
      </c>
      <c r="J164">
        <f>INDEX('[2]Precios Históricos'!$A:$AZ,MATCH(J$1,'[2]Precios Históricos'!$B:$B,0),MATCH($A164,'[2]Precios Históricos'!$6:$6,0))</f>
        <v>1.2652142500000001</v>
      </c>
      <c r="K164">
        <f>INDEX('[2]Precios Históricos'!$A:$AZ,MATCH(K$1,'[2]Precios Históricos'!$B:$B,0),MATCH($A164,'[2]Precios Históricos'!$6:$6,0))</f>
        <v>1.3789722900000001</v>
      </c>
      <c r="L164">
        <f>INDEX('[2]Precios Históricos'!$A:$AZ,MATCH(L$1,'[2]Precios Históricos'!$B:$B,0),MATCH($A164,'[2]Precios Históricos'!$6:$6,0))</f>
        <v>1.31940788</v>
      </c>
      <c r="M164">
        <f>INDEX('[2]Precios Históricos'!$A:$AZ,MATCH(M$1,'[2]Precios Históricos'!$B:$B,0),MATCH($A164,'[2]Precios Históricos'!$6:$6,0))</f>
        <v>4.1422743400000002</v>
      </c>
      <c r="N164">
        <f>INDEX('[2]Precios Históricos'!$A:$AZ,MATCH(N$1,'[2]Precios Históricos'!$B:$B,0),MATCH($A164,'[2]Precios Históricos'!$6:$6,0))</f>
        <v>1.28355018</v>
      </c>
      <c r="O164">
        <f>INDEX('[2]Precios Históricos'!$A:$AZ,MATCH(O$1,'[2]Precios Históricos'!$B:$B,0),MATCH($A164,'[2]Precios Históricos'!$6:$6,0))</f>
        <v>1.2836386500000001</v>
      </c>
    </row>
    <row r="165" spans="1:15" x14ac:dyDescent="0.25">
      <c r="A165" s="4"/>
      <c r="C165" s="5"/>
    </row>
    <row r="166" spans="1:15" x14ac:dyDescent="0.25">
      <c r="A166" s="4"/>
      <c r="C166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8"/>
  <sheetViews>
    <sheetView topLeftCell="A409" workbookViewId="0">
      <selection activeCell="B435" sqref="B435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+IFERROR(VLOOKUP(A420,[3]Variables!$M:$N,2,0),0)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+IFERROR(VLOOKUP(A421,[3]Variables!$M:$N,2,0),0)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+IFERROR(VLOOKUP(A422,[3]Variables!$M:$N,2,0),0)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+IFERROR(VLOOKUP(A423,[3]Variables!$M:$N,2,0),0)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+IFERROR(VLOOKUP(A424,[3]Variables!$M:$N,2,0),0)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+IFERROR(VLOOKUP(A425,[3]Variables!$M:$N,2,0),0)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+IFERROR(VLOOKUP(A426,[3]Variables!$M:$N,2,0),0)</f>
        <v>24.5625</v>
      </c>
    </row>
    <row r="427" spans="1:2" x14ac:dyDescent="0.25">
      <c r="A427" s="2">
        <f>+WORKDAY(A426,1,Feriados!$A$2:$A$38)</f>
        <v>46300</v>
      </c>
      <c r="B427" s="3">
        <f>+IFERROR(VLOOKUP(A427,[3]Variables!$M:$N,2,0),0)</f>
        <v>23.75</v>
      </c>
    </row>
    <row r="428" spans="1:2" x14ac:dyDescent="0.25">
      <c r="A428" s="2">
        <f>+WORKDAY(A427,1,Feriados!$A$2:$A$38)</f>
        <v>46301</v>
      </c>
      <c r="B428" s="3">
        <f>+IFERROR(VLOOKUP(A428,[3]Variables!$M:$N,2,0),0)</f>
        <v>24.1875</v>
      </c>
    </row>
    <row r="429" spans="1:2" x14ac:dyDescent="0.25">
      <c r="A429" s="2">
        <f>+WORKDAY(A428,1,Feriados!$A$2:$A$38)</f>
        <v>46302</v>
      </c>
      <c r="B429" s="3">
        <f>+IFERROR(VLOOKUP(A429,[3]Variables!$M:$N,2,0),0)</f>
        <v>24</v>
      </c>
    </row>
    <row r="430" spans="1:2" x14ac:dyDescent="0.25">
      <c r="A430" s="2">
        <f>+WORKDAY(A429,1,Feriados!$A$2:$A$38)</f>
        <v>46303</v>
      </c>
      <c r="B430" s="3">
        <f>+IFERROR(VLOOKUP(A430,[3]Variables!$M:$N,2,0),0)</f>
        <v>24.125</v>
      </c>
    </row>
    <row r="431" spans="1:2" x14ac:dyDescent="0.25">
      <c r="A431" s="2">
        <f>+WORKDAY(A430,1,Feriados!$A$2:$A$38)</f>
        <v>46304</v>
      </c>
      <c r="B431" s="3">
        <f>+IFERROR(VLOOKUP(A431,[3]Variables!$M:$N,2,0),0)</f>
        <v>24.0625</v>
      </c>
    </row>
    <row r="432" spans="1:2" x14ac:dyDescent="0.25">
      <c r="A432" s="2">
        <f>+WORKDAY(A431,1,Feriados!$A$2:$A$38)</f>
        <v>46308</v>
      </c>
      <c r="B432" s="3">
        <f>+IFERROR(VLOOKUP(A432,[3]Variables!$M:$N,2,0),0)</f>
        <v>23.8125</v>
      </c>
    </row>
    <row r="433" spans="1:3" x14ac:dyDescent="0.25">
      <c r="A433" s="2">
        <f>+WORKDAY(A432,1,Feriados!$A$2:$A$38)</f>
        <v>46309</v>
      </c>
      <c r="B433" s="3">
        <f>+IFERROR(VLOOKUP(A433,[3]Variables!$M:$N,2,0),0)</f>
        <v>24.5625</v>
      </c>
      <c r="C433" s="6"/>
    </row>
    <row r="434" spans="1:3" x14ac:dyDescent="0.25">
      <c r="A434" s="2">
        <f>+WORKDAY(A433,1,Feriados!$A$2:$A$38)</f>
        <v>46310</v>
      </c>
      <c r="B434" s="3">
        <f>+IFERROR(VLOOKUP(A434,[3]Variables!$M:$N,2,0),0)</f>
        <v>24.5</v>
      </c>
    </row>
    <row r="435" spans="1:3" x14ac:dyDescent="0.25">
      <c r="A435" s="2">
        <f>+WORKDAY(A434,1,Feriados!$A$2:$A$38)</f>
        <v>46311</v>
      </c>
    </row>
    <row r="436" spans="1:3" x14ac:dyDescent="0.25">
      <c r="A436" s="2">
        <f>+WORKDAY(A435,1,Feriados!$A$2:$A$38)</f>
        <v>46314</v>
      </c>
    </row>
    <row r="437" spans="1:3" x14ac:dyDescent="0.25">
      <c r="A437" s="2">
        <f>+WORKDAY(A436,1,Feriados!$A$2:$A$38)</f>
        <v>46315</v>
      </c>
    </row>
    <row r="438" spans="1:3" x14ac:dyDescent="0.25">
      <c r="A438" s="2">
        <f>+WORKDAY(A437,1,Feriados!$A$2:$A$38)</f>
        <v>46316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96"/>
  <sheetViews>
    <sheetView topLeftCell="A410" workbookViewId="0">
      <selection activeCell="B418" sqref="B418"/>
    </sheetView>
  </sheetViews>
  <sheetFormatPr baseColWidth="10" defaultRowHeight="15" x14ac:dyDescent="0.25"/>
  <sheetData>
    <row r="1" spans="1:2" x14ac:dyDescent="0.25">
      <c r="A1" s="2" t="s">
        <v>2</v>
      </c>
      <c r="B1" s="3" t="s">
        <v>21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+WORKDAY(A419,1,[4]Feriados!$A$2:$A$38)</f>
        <v>46289</v>
      </c>
      <c r="B420" s="3">
        <v>844.43527310563002</v>
      </c>
    </row>
    <row r="421" spans="1:2" x14ac:dyDescent="0.25">
      <c r="A421" s="2">
        <f>+WORKDAY(A420,1,[4]Feriados!$A$2:$A$38)</f>
        <v>46290</v>
      </c>
      <c r="B421" s="3">
        <v>844.90989791504001</v>
      </c>
    </row>
    <row r="422" spans="1:2" x14ac:dyDescent="0.25">
      <c r="A422" s="2">
        <f>+WORKDAY(A421,1,[4]Feriados!$A$2:$A$38)</f>
        <v>46293</v>
      </c>
      <c r="B422" s="3">
        <v>846.33537355394003</v>
      </c>
    </row>
    <row r="423" spans="1:2" x14ac:dyDescent="0.25">
      <c r="A423" s="2">
        <f>+WORKDAY(A422,1,[4]Feriados!$A$2:$A$38)</f>
        <v>46294</v>
      </c>
      <c r="B423" s="3">
        <v>846.81106633722004</v>
      </c>
    </row>
    <row r="424" spans="1:2" x14ac:dyDescent="0.25">
      <c r="A424" s="2">
        <f>+WORKDAY(A423,1,[4]Feriados!$A$2:$A$38)</f>
        <v>46295</v>
      </c>
      <c r="B424" s="3">
        <v>847.28702648924002</v>
      </c>
    </row>
    <row r="425" spans="1:2" x14ac:dyDescent="0.25">
      <c r="A425" s="2">
        <f>+WORKDAY(A424,1,[4]Feriados!$A$2:$A$38)</f>
        <v>46296</v>
      </c>
      <c r="B425" s="3">
        <f>+IFERROR(VLOOKUP(A425,[3]Variables!$P:$Q,2,0),B424)</f>
        <v>847.76325416028999</v>
      </c>
    </row>
    <row r="426" spans="1:2" x14ac:dyDescent="0.25">
      <c r="A426" s="2">
        <f>+WORKDAY(A425,1,[4]Feriados!$A$2:$A$38)</f>
        <v>46297</v>
      </c>
      <c r="B426" s="3">
        <f>+IFERROR(VLOOKUP(A426,[3]Variables!$P:$Q,2,0),B425)</f>
        <v>848.23974950070999</v>
      </c>
    </row>
    <row r="427" spans="1:2" x14ac:dyDescent="0.25">
      <c r="A427" s="2">
        <f>+WORKDAY(A426,1,[4]Feriados!$A$2:$A$38)</f>
        <v>46300</v>
      </c>
      <c r="B427" s="3">
        <f>+IFERROR(VLOOKUP(A427,[3]Variables!$P:$Q,2,0),B426)</f>
        <v>849.67084304316995</v>
      </c>
    </row>
    <row r="428" spans="1:2" x14ac:dyDescent="0.25">
      <c r="A428" s="2">
        <f>+WORKDAY(A427,1,[4]Feriados!$A$2:$A$38)</f>
        <v>46301</v>
      </c>
      <c r="B428" s="3">
        <f>+IFERROR(VLOOKUP(A428,[3]Variables!$P:$Q,2,0),B427)</f>
        <v>850.14841056643002</v>
      </c>
    </row>
    <row r="429" spans="1:2" x14ac:dyDescent="0.25">
      <c r="A429" s="2">
        <f>+WORKDAY(A428,1,[4]Feriados!$A$2:$A$38)</f>
        <v>46302</v>
      </c>
      <c r="B429" s="3">
        <f>+IFERROR(VLOOKUP(A429,[3]Variables!$P:$Q,2,0),B428)</f>
        <v>850.62624651216004</v>
      </c>
    </row>
    <row r="430" spans="1:2" x14ac:dyDescent="0.25">
      <c r="A430" s="2">
        <f>+WORKDAY(A429,1,[4]Feriados!$A$2:$A$38)</f>
        <v>46303</v>
      </c>
      <c r="B430" s="3">
        <f>+IFERROR(VLOOKUP(A430,[3]Variables!$P:$Q,2,0),B429)</f>
        <v>851.10435103121995</v>
      </c>
    </row>
    <row r="431" spans="1:2" x14ac:dyDescent="0.25">
      <c r="A431" s="2">
        <f>+WORKDAY(A430,1,[4]Feriados!$A$2:$A$38)</f>
        <v>46304</v>
      </c>
      <c r="B431" s="3">
        <f>+IFERROR(VLOOKUP(A431,[3]Variables!$P:$Q,2,0),B430)</f>
        <v>851.58272427456996</v>
      </c>
    </row>
    <row r="432" spans="1:2" x14ac:dyDescent="0.25">
      <c r="A432" s="2">
        <f>+WORKDAY(A431,1,[4]Feriados!$A$2:$A$38)</f>
        <v>46308</v>
      </c>
      <c r="B432" s="3">
        <f>+IFERROR(VLOOKUP(A432,[3]Variables!$P:$Q,2,0),B431)</f>
        <v>853.49890751288001</v>
      </c>
    </row>
    <row r="433" spans="1:2" x14ac:dyDescent="0.25">
      <c r="A433" s="2">
        <f>+WORKDAY(A432,1,[4]Feriados!$A$2:$A$38)</f>
        <v>46309</v>
      </c>
      <c r="B433" s="3">
        <f>+IFERROR(VLOOKUP(A433,[3]Variables!$P:$Q,2,0),B432)</f>
        <v>853.97862664495005</v>
      </c>
    </row>
    <row r="434" spans="1:2" x14ac:dyDescent="0.25">
      <c r="A434" s="2">
        <f>+WORKDAY(A433,1,[4]Feriados!$A$2:$A$38)</f>
        <v>46310</v>
      </c>
      <c r="B434" s="3">
        <f>+IFERROR(VLOOKUP(A434,[3]Variables!$P:$Q,2,0),B433)</f>
        <v>854.45861540882004</v>
      </c>
    </row>
    <row r="435" spans="1:2" x14ac:dyDescent="0.25">
      <c r="A435" s="2">
        <f>+WORKDAY(A434,1,[4]Feriados!$A$2:$A$38)</f>
        <v>46311</v>
      </c>
      <c r="B435" s="3">
        <f>+IFERROR(VLOOKUP(A435,[3]Variables!$P:$Q,2,0),B434)</f>
        <v>854.97756035401005</v>
      </c>
    </row>
    <row r="436" spans="1:2" x14ac:dyDescent="0.25">
      <c r="A436" s="2">
        <f>+WORKDAY(A435,1,Feriados!$A$2:$A$38)</f>
        <v>46314</v>
      </c>
      <c r="B436" s="3">
        <f>+IFERROR(VLOOKUP(A436,[3]Variables!$P:$Q,2,0),B435)</f>
        <v>856.53628700440004</v>
      </c>
    </row>
    <row r="437" spans="1:2" x14ac:dyDescent="0.25">
      <c r="A437" s="2">
        <f>+WORKDAY(A436,1,Feriados!$A$2:$A$38)</f>
        <v>46315</v>
      </c>
      <c r="B437" s="3">
        <f>+IFERROR(VLOOKUP(A437,[3]Variables!$P:$Q,2,0),B436)</f>
        <v>857.05649379790998</v>
      </c>
    </row>
    <row r="438" spans="1:2" x14ac:dyDescent="0.25">
      <c r="A438" s="2">
        <f>+WORKDAY(A437,1,Feriados!$A$2:$A$38)</f>
        <v>46316</v>
      </c>
      <c r="B438" s="3">
        <f>+IFERROR(VLOOKUP(A438,[3]Variables!$P:$Q,2,0),B437)</f>
        <v>857.57701653262995</v>
      </c>
    </row>
    <row r="439" spans="1:2" x14ac:dyDescent="0.25">
      <c r="A439" s="2">
        <f>+WORKDAY(A438,1,Feriados!$A$2:$A$38)</f>
        <v>46317</v>
      </c>
      <c r="B439" s="3">
        <f>+IFERROR(VLOOKUP(A439,[3]Variables!$P:$Q,2,0),B438)</f>
        <v>858.09785540044004</v>
      </c>
    </row>
    <row r="440" spans="1:2" x14ac:dyDescent="0.25">
      <c r="A440" s="2">
        <f>+WORKDAY(A439,1,Feriados!$A$2:$A$38)</f>
        <v>46318</v>
      </c>
      <c r="B440" s="3">
        <f>+IFERROR(VLOOKUP(A440,[3]Variables!$P:$Q,2,0),B439)</f>
        <v>858.61901059334002</v>
      </c>
    </row>
    <row r="441" spans="1:2" x14ac:dyDescent="0.25">
      <c r="A441" s="2">
        <f>+WORKDAY(A440,1,Feriados!$A$2:$A$38)</f>
        <v>46321</v>
      </c>
      <c r="B441" s="3">
        <f>+IFERROR(VLOOKUP(A441,[3]Variables!$P:$Q,2,0),B440)</f>
        <v>860.18437604431995</v>
      </c>
    </row>
    <row r="442" spans="1:2" x14ac:dyDescent="0.25">
      <c r="A442" s="2">
        <f>+WORKDAY(A441,1,Feriados!$A$2:$A$38)</f>
        <v>46322</v>
      </c>
      <c r="B442" s="3">
        <f>+IFERROR(VLOOKUP(A442,[3]Variables!$P:$Q,2,0),B441)</f>
        <v>860.70679845991003</v>
      </c>
    </row>
    <row r="443" spans="1:2" x14ac:dyDescent="0.25">
      <c r="A443" s="2">
        <f>+WORKDAY(A442,1,Feriados!$A$2:$A$38)</f>
        <v>46323</v>
      </c>
      <c r="B443" s="3">
        <f>+IFERROR(VLOOKUP(A443,[3]Variables!$P:$Q,2,0),B442)</f>
        <v>861.22953816232996</v>
      </c>
    </row>
    <row r="444" spans="1:2" x14ac:dyDescent="0.25">
      <c r="A444" s="2">
        <f>+WORKDAY(A443,1,Feriados!$A$2:$A$38)</f>
        <v>46324</v>
      </c>
      <c r="B444" s="3">
        <f>+IFERROR(VLOOKUP(A444,[3]Variables!$P:$Q,2,0),B443)</f>
        <v>861.75259534428994</v>
      </c>
    </row>
    <row r="445" spans="1:2" x14ac:dyDescent="0.25">
      <c r="A445" s="2">
        <f>+WORKDAY(A444,1,Feriados!$A$2:$A$38)</f>
        <v>46325</v>
      </c>
      <c r="B445" s="3">
        <f>+IFERROR(VLOOKUP(A445,[3]Variables!$P:$Q,2,0),B444)</f>
        <v>862.27597019861003</v>
      </c>
    </row>
    <row r="446" spans="1:2" x14ac:dyDescent="0.25">
      <c r="A446" s="2">
        <f>+WORKDAY(A445,1,Feriados!$A$2:$A$38)</f>
        <v>46328</v>
      </c>
      <c r="B446" s="3">
        <f>+IFERROR(VLOOKUP(A446,[3]Variables!$P:$Q,2,0),B445)</f>
        <v>863.84800272561995</v>
      </c>
    </row>
    <row r="447" spans="1:2" x14ac:dyDescent="0.25">
      <c r="A447" s="2">
        <f>+WORKDAY(A446,1,Feriados!$A$2:$A$38)</f>
        <v>46329</v>
      </c>
      <c r="B447" s="3">
        <f>+IFERROR(VLOOKUP(A447,[3]Variables!$P:$Q,2,0),B446)</f>
        <v>864.37265019987001</v>
      </c>
    </row>
    <row r="448" spans="1:2" x14ac:dyDescent="0.25">
      <c r="A448" s="2">
        <f>+WORKDAY(A447,1,Feriados!$A$2:$A$38)</f>
        <v>46330</v>
      </c>
      <c r="B448" s="3">
        <f>+IFERROR(VLOOKUP(A448,[3]Variables!$P:$Q,2,0),B447)</f>
        <v>864.89761631232</v>
      </c>
    </row>
    <row r="449" spans="1:2" x14ac:dyDescent="0.25">
      <c r="A449" s="2">
        <f>+WORKDAY(A448,1,Feriados!$A$2:$A$38)</f>
        <v>46331</v>
      </c>
      <c r="B449" s="3">
        <f>+IFERROR(VLOOKUP(A449,[3]Variables!$P:$Q,2,0),B448)</f>
        <v>865.42290125649004</v>
      </c>
    </row>
    <row r="450" spans="1:2" x14ac:dyDescent="0.25">
      <c r="A450" s="2">
        <f>+WORKDAY(A449,1,Feriados!$A$2:$A$38)</f>
        <v>46337</v>
      </c>
      <c r="B450" s="3">
        <f>+IFERROR(VLOOKUP(A450,[3]Variables!$P:$Q,2,0),B449)</f>
        <v>868.58131723965005</v>
      </c>
    </row>
    <row r="451" spans="1:2" x14ac:dyDescent="0.25">
      <c r="A451" s="2">
        <f>+WORKDAY(A450,1,Feriados!$A$2:$A$38)</f>
        <v>46338</v>
      </c>
      <c r="B451" s="3">
        <f>+IFERROR(VLOOKUP(A451,[3]Variables!$P:$Q,2,0),B450)</f>
        <v>869.10883943432998</v>
      </c>
    </row>
    <row r="452" spans="1:2" x14ac:dyDescent="0.25">
      <c r="A452" s="2">
        <f>+WORKDAY(A451,1,Feriados!$A$2:$A$38)</f>
        <v>46339</v>
      </c>
      <c r="B452" s="3">
        <f>+IFERROR(VLOOKUP(A452,[3]Variables!$P:$Q,2,0),B451)</f>
        <v>869.63668201313999</v>
      </c>
    </row>
    <row r="453" spans="1:2" x14ac:dyDescent="0.25">
      <c r="A453" s="2">
        <f>+WORKDAY(A452,1,Feriados!$A$2:$A$38)</f>
        <v>46342</v>
      </c>
      <c r="B453" s="3">
        <f>+IFERROR(VLOOKUP(A453,[3]Variables!$P:$Q,2,0),B452)</f>
        <v>869.63668201313999</v>
      </c>
    </row>
    <row r="454" spans="1:2" x14ac:dyDescent="0.25">
      <c r="A454" s="2">
        <f>+WORKDAY(A453,1,Feriados!$A$2:$A$38)</f>
        <v>46343</v>
      </c>
      <c r="B454" s="3">
        <f>+IFERROR(VLOOKUP(A454,[3]Variables!$P:$Q,2,0),B453)</f>
        <v>869.63668201313999</v>
      </c>
    </row>
    <row r="455" spans="1:2" x14ac:dyDescent="0.25">
      <c r="A455" s="2">
        <f>+WORKDAY(A454,1,Feriados!$A$2:$A$38)</f>
        <v>46344</v>
      </c>
      <c r="B455" s="3">
        <f>+IFERROR(VLOOKUP(A455,[3]Variables!$P:$Q,2,0),B454)</f>
        <v>869.63668201313999</v>
      </c>
    </row>
    <row r="456" spans="1:2" x14ac:dyDescent="0.25">
      <c r="A456" s="2">
        <f>+WORKDAY(A455,1,Feriados!$A$2:$A$38)</f>
        <v>46345</v>
      </c>
      <c r="B456" s="3">
        <f>+IFERROR(VLOOKUP(A456,[3]Variables!$P:$Q,2,0),B455)</f>
        <v>869.63668201313999</v>
      </c>
    </row>
    <row r="457" spans="1:2" x14ac:dyDescent="0.25">
      <c r="A457" s="2">
        <f>+WORKDAY(A456,1,Feriados!$A$2:$A$38)</f>
        <v>46346</v>
      </c>
      <c r="B457" s="3">
        <f>+IFERROR(VLOOKUP(A457,[3]Variables!$P:$Q,2,0),B456)</f>
        <v>869.63668201313999</v>
      </c>
    </row>
    <row r="458" spans="1:2" x14ac:dyDescent="0.25">
      <c r="A458" s="2">
        <f>+WORKDAY(A457,1,Feriados!$A$2:$A$38)</f>
        <v>46350</v>
      </c>
      <c r="B458" s="3">
        <f>+IFERROR(VLOOKUP(A458,[3]Variables!$P:$Q,2,0),B457)</f>
        <v>869.63668201313999</v>
      </c>
    </row>
    <row r="459" spans="1:2" x14ac:dyDescent="0.25">
      <c r="A459" s="2">
        <f>+WORKDAY(A458,1,Feriados!$A$2:$A$38)</f>
        <v>46351</v>
      </c>
      <c r="B459" s="3">
        <f>+IFERROR(VLOOKUP(A459,[3]Variables!$P:$Q,2,0),B458)</f>
        <v>869.63668201313999</v>
      </c>
    </row>
    <row r="460" spans="1:2" x14ac:dyDescent="0.25">
      <c r="A460" s="2">
        <f>+WORKDAY(A459,1,Feriados!$A$2:$A$38)</f>
        <v>46352</v>
      </c>
      <c r="B460" s="3">
        <f>+IFERROR(VLOOKUP(A460,[3]Variables!$P:$Q,2,0),B459)</f>
        <v>869.63668201313999</v>
      </c>
    </row>
    <row r="461" spans="1:2" x14ac:dyDescent="0.25">
      <c r="A461" s="2">
        <f>+WORKDAY(A460,1,Feriados!$A$2:$A$38)</f>
        <v>46353</v>
      </c>
      <c r="B461" s="3">
        <f>+IFERROR(VLOOKUP(A461,[3]Variables!$P:$Q,2,0),B460)</f>
        <v>869.63668201313999</v>
      </c>
    </row>
    <row r="462" spans="1:2" x14ac:dyDescent="0.25">
      <c r="A462" s="2">
        <f>+WORKDAY(A461,1,Feriados!$A$2:$A$38)</f>
        <v>46356</v>
      </c>
      <c r="B462" s="3">
        <f>+IFERROR(VLOOKUP(A462,[3]Variables!$P:$Q,2,0),B461)</f>
        <v>869.63668201313999</v>
      </c>
    </row>
    <row r="463" spans="1:2" x14ac:dyDescent="0.25">
      <c r="A463" s="2">
        <f>+WORKDAY(A462,1,Feriados!$A$2:$A$38)</f>
        <v>46357</v>
      </c>
      <c r="B463" s="3">
        <f>+IFERROR(VLOOKUP(A463,[3]Variables!$P:$Q,2,0),B462)</f>
        <v>869.63668201313999</v>
      </c>
    </row>
    <row r="464" spans="1:2" x14ac:dyDescent="0.25">
      <c r="A464" s="2">
        <f>+WORKDAY(A463,1,Feriados!$A$2:$A$38)</f>
        <v>46358</v>
      </c>
      <c r="B464" s="3">
        <f>+IFERROR(VLOOKUP(A464,[3]Variables!$P:$Q,2,0),B463)</f>
        <v>869.63668201313999</v>
      </c>
    </row>
    <row r="465" spans="1:2" x14ac:dyDescent="0.25">
      <c r="A465" s="2">
        <f>+WORKDAY(A464,1,Feriados!$A$2:$A$38)</f>
        <v>46359</v>
      </c>
      <c r="B465" s="3">
        <f>+IFERROR(VLOOKUP(A465,[3]Variables!$P:$Q,2,0),B464)</f>
        <v>869.63668201313999</v>
      </c>
    </row>
    <row r="466" spans="1:2" x14ac:dyDescent="0.25">
      <c r="A466" s="2">
        <f>+WORKDAY(A465,1,Feriados!$A$2:$A$38)</f>
        <v>46360</v>
      </c>
      <c r="B466" s="3">
        <f>+IFERROR(VLOOKUP(A466,[3]Variables!$P:$Q,2,0),B465)</f>
        <v>869.63668201313999</v>
      </c>
    </row>
    <row r="467" spans="1:2" x14ac:dyDescent="0.25">
      <c r="A467" s="2">
        <f>+WORKDAY(A466,1,Feriados!$A$2:$A$38)</f>
        <v>46365</v>
      </c>
      <c r="B467" s="3">
        <f>+IFERROR(VLOOKUP(A467,[3]Variables!$P:$Q,2,0),B466)</f>
        <v>869.63668201313999</v>
      </c>
    </row>
    <row r="468" spans="1:2" x14ac:dyDescent="0.25">
      <c r="A468" s="2">
        <f>+WORKDAY(A467,1,Feriados!$A$2:$A$38)</f>
        <v>46366</v>
      </c>
      <c r="B468" s="3">
        <f>+IFERROR(VLOOKUP(A468,[3]Variables!$P:$Q,2,0),B467)</f>
        <v>869.63668201313999</v>
      </c>
    </row>
    <row r="469" spans="1:2" x14ac:dyDescent="0.25">
      <c r="A469" s="2">
        <f>+WORKDAY(A468,1,Feriados!$A$2:$A$38)</f>
        <v>46367</v>
      </c>
      <c r="B469" s="3">
        <f>+IFERROR(VLOOKUP(A469,[3]Variables!$P:$Q,2,0),B468)</f>
        <v>869.63668201313999</v>
      </c>
    </row>
    <row r="470" spans="1:2" x14ac:dyDescent="0.25">
      <c r="A470" s="2">
        <f>+WORKDAY(A469,1,Feriados!$A$2:$A$38)</f>
        <v>46370</v>
      </c>
      <c r="B470" s="3">
        <f>+IFERROR(VLOOKUP(A470,[3]Variables!$P:$Q,2,0),B469)</f>
        <v>869.63668201313999</v>
      </c>
    </row>
    <row r="471" spans="1:2" x14ac:dyDescent="0.25">
      <c r="A471" s="2">
        <f>+WORKDAY(A470,1,Feriados!$A$2:$A$38)</f>
        <v>46371</v>
      </c>
      <c r="B471" s="3">
        <f>+IFERROR(VLOOKUP(A471,[3]Variables!$P:$Q,2,0),B470)</f>
        <v>869.63668201313999</v>
      </c>
    </row>
    <row r="472" spans="1:2" x14ac:dyDescent="0.25">
      <c r="A472" s="2">
        <f>+WORKDAY(A471,1,Feriados!$A$2:$A$38)</f>
        <v>46372</v>
      </c>
      <c r="B472" s="3">
        <f>+IFERROR(VLOOKUP(A472,[3]Variables!$P:$Q,2,0),B471)</f>
        <v>869.63668201313999</v>
      </c>
    </row>
    <row r="473" spans="1:2" x14ac:dyDescent="0.25">
      <c r="A473" s="2">
        <f>+WORKDAY(A472,1,Feriados!$A$2:$A$38)</f>
        <v>46373</v>
      </c>
      <c r="B473" s="3">
        <f>+IFERROR(VLOOKUP(A473,[3]Variables!$P:$Q,2,0),B472)</f>
        <v>869.63668201313999</v>
      </c>
    </row>
    <row r="474" spans="1:2" x14ac:dyDescent="0.25">
      <c r="A474" s="2">
        <f>+WORKDAY(A473,1,Feriados!$A$2:$A$38)</f>
        <v>46374</v>
      </c>
      <c r="B474" s="3">
        <f>+IFERROR(VLOOKUP(A474,[3]Variables!$P:$Q,2,0),B473)</f>
        <v>869.63668201313999</v>
      </c>
    </row>
    <row r="475" spans="1:2" x14ac:dyDescent="0.25">
      <c r="A475" s="2">
        <f>+WORKDAY(A474,1,Feriados!$A$2:$A$38)</f>
        <v>46377</v>
      </c>
      <c r="B475" s="3">
        <f>+IFERROR(VLOOKUP(A475,[3]Variables!$P:$Q,2,0),B474)</f>
        <v>869.63668201313999</v>
      </c>
    </row>
    <row r="476" spans="1:2" x14ac:dyDescent="0.25">
      <c r="A476" s="2">
        <f>+WORKDAY(A475,1,Feriados!$A$2:$A$38)</f>
        <v>46378</v>
      </c>
      <c r="B476" s="3">
        <f>+IFERROR(VLOOKUP(A476,[3]Variables!$P:$Q,2,0),B475)</f>
        <v>869.63668201313999</v>
      </c>
    </row>
    <row r="477" spans="1:2" x14ac:dyDescent="0.25">
      <c r="A477" s="2">
        <f>+WORKDAY(A476,1,Feriados!$A$2:$A$38)</f>
        <v>46379</v>
      </c>
      <c r="B477" s="3">
        <f>+IFERROR(VLOOKUP(A477,[3]Variables!$P:$Q,2,0),B476)</f>
        <v>869.63668201313999</v>
      </c>
    </row>
    <row r="478" spans="1:2" x14ac:dyDescent="0.25">
      <c r="A478" s="2">
        <f>+WORKDAY(A477,1,Feriados!$A$2:$A$38)</f>
        <v>46380</v>
      </c>
      <c r="B478" s="3">
        <f>+IFERROR(VLOOKUP(A478,[3]Variables!$P:$Q,2,0),B477)</f>
        <v>869.63668201313999</v>
      </c>
    </row>
    <row r="479" spans="1:2" x14ac:dyDescent="0.25">
      <c r="A479" s="2">
        <f>+WORKDAY(A478,1,Feriados!$A$2:$A$38)</f>
        <v>46384</v>
      </c>
      <c r="B479" s="3">
        <f>+IFERROR(VLOOKUP(A479,[3]Variables!$P:$Q,2,0),B478)</f>
        <v>869.63668201313999</v>
      </c>
    </row>
    <row r="480" spans="1:2" x14ac:dyDescent="0.25">
      <c r="A480" s="2">
        <f>+WORKDAY(A479,1,Feriados!$A$2:$A$38)</f>
        <v>46385</v>
      </c>
      <c r="B480" s="3">
        <f>+IFERROR(VLOOKUP(A480,[3]Variables!$P:$Q,2,0),B479)</f>
        <v>869.63668201313999</v>
      </c>
    </row>
    <row r="481" spans="1:2" x14ac:dyDescent="0.25">
      <c r="A481" s="2">
        <f>+WORKDAY(A480,1,Feriados!$A$2:$A$38)</f>
        <v>46386</v>
      </c>
      <c r="B481" s="3">
        <f>+IFERROR(VLOOKUP(A481,[3]Variables!$P:$Q,2,0),B480)</f>
        <v>869.63668201313999</v>
      </c>
    </row>
    <row r="482" spans="1:2" x14ac:dyDescent="0.25">
      <c r="A482" s="2">
        <f>+WORKDAY(A481,1,Feriados!$A$2:$A$38)</f>
        <v>46387</v>
      </c>
      <c r="B482" s="3">
        <f>+IFERROR(VLOOKUP(A482,[3]Variables!$P:$Q,2,0),B481)</f>
        <v>869.63668201313999</v>
      </c>
    </row>
    <row r="483" spans="1:2" x14ac:dyDescent="0.25">
      <c r="A483" s="2">
        <f>+WORKDAY(A482,1,Feriados!$A$2:$A$38)</f>
        <v>46388</v>
      </c>
      <c r="B483" s="3">
        <f>+IFERROR(VLOOKUP(A483,[3]Variables!$P:$Q,2,0),B482)</f>
        <v>869.63668201313999</v>
      </c>
    </row>
    <row r="484" spans="1:2" x14ac:dyDescent="0.25">
      <c r="A484" s="2">
        <f>+WORKDAY(A483,1,Feriados!$A$2:$A$38)</f>
        <v>46391</v>
      </c>
      <c r="B484" s="3">
        <f>+IFERROR(VLOOKUP(A484,[3]Variables!$P:$Q,2,0),B483)</f>
        <v>869.63668201313999</v>
      </c>
    </row>
    <row r="485" spans="1:2" x14ac:dyDescent="0.25">
      <c r="A485" s="2">
        <f>+WORKDAY(A484,1,Feriados!$A$2:$A$38)</f>
        <v>46392</v>
      </c>
      <c r="B485" s="3">
        <f>+IFERROR(VLOOKUP(A485,[3]Variables!$P:$Q,2,0),B484)</f>
        <v>869.63668201313999</v>
      </c>
    </row>
    <row r="486" spans="1:2" x14ac:dyDescent="0.25">
      <c r="A486" s="2">
        <f>+WORKDAY(A485,1,Feriados!$A$2:$A$38)</f>
        <v>46393</v>
      </c>
      <c r="B486" s="3">
        <f>+IFERROR(VLOOKUP(A486,[3]Variables!$P:$Q,2,0),B485)</f>
        <v>869.63668201313999</v>
      </c>
    </row>
    <row r="487" spans="1:2" x14ac:dyDescent="0.25">
      <c r="A487" s="2">
        <f>+WORKDAY(A486,1,Feriados!$A$2:$A$38)</f>
        <v>46394</v>
      </c>
      <c r="B487" s="3">
        <f>+IFERROR(VLOOKUP(A487,[3]Variables!$P:$Q,2,0),B486)</f>
        <v>869.63668201313999</v>
      </c>
    </row>
    <row r="488" spans="1:2" x14ac:dyDescent="0.25">
      <c r="A488" s="2">
        <f>+WORKDAY(A487,1,Feriados!$A$2:$A$38)</f>
        <v>46395</v>
      </c>
      <c r="B488" s="3">
        <f>+IFERROR(VLOOKUP(A488,[3]Variables!$P:$Q,2,0),B487)</f>
        <v>869.63668201313999</v>
      </c>
    </row>
    <row r="489" spans="1:2" x14ac:dyDescent="0.25">
      <c r="A489" s="2">
        <f>+WORKDAY(A488,1,Feriados!$A$2:$A$38)</f>
        <v>46398</v>
      </c>
      <c r="B489" s="3">
        <f>+IFERROR(VLOOKUP(A489,[3]Variables!$P:$Q,2,0),B488)</f>
        <v>869.63668201313999</v>
      </c>
    </row>
    <row r="490" spans="1:2" x14ac:dyDescent="0.25">
      <c r="A490" s="2">
        <f>+WORKDAY(A489,1,Feriados!$A$2:$A$38)</f>
        <v>46399</v>
      </c>
      <c r="B490" s="3">
        <f>+IFERROR(VLOOKUP(A490,[3]Variables!$P:$Q,2,0),B489)</f>
        <v>869.63668201313999</v>
      </c>
    </row>
    <row r="491" spans="1:2" x14ac:dyDescent="0.25">
      <c r="A491" s="2">
        <f>+WORKDAY(A490,1,Feriados!$A$2:$A$38)</f>
        <v>46400</v>
      </c>
      <c r="B491" s="3">
        <f>+IFERROR(VLOOKUP(A491,[3]Variables!$P:$Q,2,0),B490)</f>
        <v>869.63668201313999</v>
      </c>
    </row>
    <row r="492" spans="1:2" x14ac:dyDescent="0.25">
      <c r="A492" s="2">
        <f>+WORKDAY(A491,1,Feriados!$A$2:$A$38)</f>
        <v>46401</v>
      </c>
      <c r="B492" s="3">
        <f>+IFERROR(VLOOKUP(A492,[3]Variables!$P:$Q,2,0),B491)</f>
        <v>869.63668201313999</v>
      </c>
    </row>
    <row r="493" spans="1:2" x14ac:dyDescent="0.25">
      <c r="A493" s="2">
        <f>+WORKDAY(A492,1,Feriados!$A$2:$A$38)</f>
        <v>46402</v>
      </c>
      <c r="B493" s="3">
        <f>+IFERROR(VLOOKUP(A493,[3]Variables!$P:$Q,2,0),B492)</f>
        <v>869.63668201313999</v>
      </c>
    </row>
    <row r="494" spans="1:2" x14ac:dyDescent="0.25">
      <c r="A494" s="2">
        <f>+WORKDAY(A493,1,Feriados!$A$2:$A$38)</f>
        <v>46405</v>
      </c>
      <c r="B494" s="3">
        <f>+IFERROR(VLOOKUP(A494,[3]Variables!$P:$Q,2,0),B493)</f>
        <v>869.63668201313999</v>
      </c>
    </row>
    <row r="495" spans="1:2" x14ac:dyDescent="0.25">
      <c r="A495" s="2">
        <f>+WORKDAY(A494,1,Feriados!$A$2:$A$38)</f>
        <v>46406</v>
      </c>
      <c r="B495" s="3">
        <f>+IFERROR(VLOOKUP(A495,[3]Variables!$P:$Q,2,0),B494)</f>
        <v>869.63668201313999</v>
      </c>
    </row>
    <row r="496" spans="1:2" x14ac:dyDescent="0.25">
      <c r="A496" s="2">
        <f>+WORKDAY(A495,1,Feriados!$A$2:$A$38)</f>
        <v>46407</v>
      </c>
      <c r="B496" s="3">
        <f>+IFERROR(VLOOKUP(A496,[3]Variables!$P:$Q,2,0),B495)</f>
        <v>869.63668201313999</v>
      </c>
    </row>
    <row r="497" spans="1:2" x14ac:dyDescent="0.25">
      <c r="A497" s="2">
        <f>+WORKDAY(A496,1,Feriados!$A$2:$A$38)</f>
        <v>46408</v>
      </c>
      <c r="B497" s="3">
        <f>+IFERROR(VLOOKUP(A497,[3]Variables!$P:$Q,2,0),B496)</f>
        <v>869.63668201313999</v>
      </c>
    </row>
    <row r="498" spans="1:2" x14ac:dyDescent="0.25">
      <c r="A498" s="2">
        <f>+WORKDAY(A497,1,Feriados!$A$2:$A$38)</f>
        <v>46409</v>
      </c>
      <c r="B498" s="3">
        <f>+IFERROR(VLOOKUP(A498,[3]Variables!$P:$Q,2,0),B497)</f>
        <v>869.63668201313999</v>
      </c>
    </row>
    <row r="499" spans="1:2" x14ac:dyDescent="0.25">
      <c r="A499" s="2">
        <f>+WORKDAY(A498,1,Feriados!$A$2:$A$38)</f>
        <v>46412</v>
      </c>
      <c r="B499" s="3">
        <f>+IFERROR(VLOOKUP(A499,[3]Variables!$P:$Q,2,0),B498)</f>
        <v>869.63668201313999</v>
      </c>
    </row>
    <row r="500" spans="1:2" x14ac:dyDescent="0.25">
      <c r="A500" s="2">
        <f>+WORKDAY(A499,1,Feriados!$A$2:$A$38)</f>
        <v>46413</v>
      </c>
      <c r="B500" s="3">
        <f>+IFERROR(VLOOKUP(A500,[3]Variables!$P:$Q,2,0),B499)</f>
        <v>869.63668201313999</v>
      </c>
    </row>
    <row r="501" spans="1:2" x14ac:dyDescent="0.25">
      <c r="A501" s="2">
        <f>+WORKDAY(A500,1,Feriados!$A$2:$A$38)</f>
        <v>46414</v>
      </c>
      <c r="B501" s="3">
        <f>+IFERROR(VLOOKUP(A501,[3]Variables!$P:$Q,2,0),B500)</f>
        <v>869.63668201313999</v>
      </c>
    </row>
    <row r="502" spans="1:2" x14ac:dyDescent="0.25">
      <c r="A502" s="2">
        <f>+WORKDAY(A501,1,Feriados!$A$2:$A$38)</f>
        <v>46415</v>
      </c>
      <c r="B502" s="3">
        <f>+IFERROR(VLOOKUP(A502,[3]Variables!$P:$Q,2,0),B501)</f>
        <v>869.63668201313999</v>
      </c>
    </row>
    <row r="503" spans="1:2" x14ac:dyDescent="0.25">
      <c r="A503" s="2">
        <f>+WORKDAY(A502,1,Feriados!$A$2:$A$38)</f>
        <v>46416</v>
      </c>
      <c r="B503" s="3">
        <f>+IFERROR(VLOOKUP(A503,[3]Variables!$P:$Q,2,0),B502)</f>
        <v>869.63668201313999</v>
      </c>
    </row>
    <row r="504" spans="1:2" x14ac:dyDescent="0.25">
      <c r="A504" s="2">
        <f>+WORKDAY(A503,1,Feriados!$A$2:$A$38)</f>
        <v>46419</v>
      </c>
      <c r="B504" s="3">
        <f>+IFERROR(VLOOKUP(A504,[3]Variables!$P:$Q,2,0),B503)</f>
        <v>869.63668201313999</v>
      </c>
    </row>
    <row r="505" spans="1:2" x14ac:dyDescent="0.25">
      <c r="A505" s="2">
        <f>+WORKDAY(A504,1,Feriados!$A$2:$A$38)</f>
        <v>46420</v>
      </c>
      <c r="B505" s="3">
        <f>+IFERROR(VLOOKUP(A505,[3]Variables!$P:$Q,2,0),B504)</f>
        <v>869.63668201313999</v>
      </c>
    </row>
    <row r="506" spans="1:2" x14ac:dyDescent="0.25">
      <c r="A506" s="2">
        <f>+WORKDAY(A505,1,Feriados!$A$2:$A$38)</f>
        <v>46421</v>
      </c>
      <c r="B506" s="3">
        <f>+IFERROR(VLOOKUP(A506,[3]Variables!$P:$Q,2,0),B505)</f>
        <v>869.63668201313999</v>
      </c>
    </row>
    <row r="507" spans="1:2" x14ac:dyDescent="0.25">
      <c r="A507" s="2">
        <f>+WORKDAY(A506,1,Feriados!$A$2:$A$38)</f>
        <v>46422</v>
      </c>
      <c r="B507" s="3">
        <f>+IFERROR(VLOOKUP(A507,[3]Variables!$P:$Q,2,0),B506)</f>
        <v>869.63668201313999</v>
      </c>
    </row>
    <row r="508" spans="1:2" x14ac:dyDescent="0.25">
      <c r="A508" s="2">
        <f>+WORKDAY(A507,1,Feriados!$A$2:$A$38)</f>
        <v>46423</v>
      </c>
      <c r="B508" s="3">
        <f>+IFERROR(VLOOKUP(A508,[3]Variables!$P:$Q,2,0),B507)</f>
        <v>869.63668201313999</v>
      </c>
    </row>
    <row r="509" spans="1:2" x14ac:dyDescent="0.25">
      <c r="A509" s="2">
        <f>+WORKDAY(A508,1,Feriados!$A$2:$A$38)</f>
        <v>46426</v>
      </c>
      <c r="B509" s="3">
        <f>+IFERROR(VLOOKUP(A509,[3]Variables!$P:$Q,2,0),B508)</f>
        <v>869.63668201313999</v>
      </c>
    </row>
    <row r="510" spans="1:2" x14ac:dyDescent="0.25">
      <c r="A510" s="2">
        <f>+WORKDAY(A509,1,Feriados!$A$2:$A$38)</f>
        <v>46427</v>
      </c>
      <c r="B510" s="3">
        <f>+IFERROR(VLOOKUP(A510,[3]Variables!$P:$Q,2,0),B509)</f>
        <v>869.63668201313999</v>
      </c>
    </row>
    <row r="511" spans="1:2" x14ac:dyDescent="0.25">
      <c r="A511" s="2">
        <f>+WORKDAY(A510,1,Feriados!$A$2:$A$38)</f>
        <v>46428</v>
      </c>
      <c r="B511" s="3">
        <f>+IFERROR(VLOOKUP(A511,[3]Variables!$P:$Q,2,0),B510)</f>
        <v>869.63668201313999</v>
      </c>
    </row>
    <row r="512" spans="1:2" x14ac:dyDescent="0.25">
      <c r="A512" s="2">
        <f>+WORKDAY(A511,1,Feriados!$A$2:$A$38)</f>
        <v>46429</v>
      </c>
      <c r="B512" s="3">
        <f>+IFERROR(VLOOKUP(A512,[3]Variables!$P:$Q,2,0),B511)</f>
        <v>869.63668201313999</v>
      </c>
    </row>
    <row r="513" spans="1:2" x14ac:dyDescent="0.25">
      <c r="A513" s="2">
        <f>+WORKDAY(A512,1,Feriados!$A$2:$A$38)</f>
        <v>46430</v>
      </c>
      <c r="B513" s="3">
        <f>+IFERROR(VLOOKUP(A513,[3]Variables!$P:$Q,2,0),B512)</f>
        <v>869.63668201313999</v>
      </c>
    </row>
    <row r="514" spans="1:2" x14ac:dyDescent="0.25">
      <c r="A514" s="2">
        <f>+WORKDAY(A513,1,Feriados!$A$2:$A$38)</f>
        <v>46433</v>
      </c>
      <c r="B514" s="3">
        <f>+IFERROR(VLOOKUP(A514,[3]Variables!$P:$Q,2,0),B513)</f>
        <v>869.63668201313999</v>
      </c>
    </row>
    <row r="515" spans="1:2" x14ac:dyDescent="0.25">
      <c r="A515" s="2">
        <f>+WORKDAY(A514,1,Feriados!$A$2:$A$38)</f>
        <v>46434</v>
      </c>
      <c r="B515" s="3">
        <f>+IFERROR(VLOOKUP(A515,[3]Variables!$P:$Q,2,0),B514)</f>
        <v>869.63668201313999</v>
      </c>
    </row>
    <row r="516" spans="1:2" x14ac:dyDescent="0.25">
      <c r="A516" s="2">
        <f>+WORKDAY(A515,1,Feriados!$A$2:$A$38)</f>
        <v>46435</v>
      </c>
      <c r="B516" s="3">
        <f>+IFERROR(VLOOKUP(A516,[3]Variables!$P:$Q,2,0),B515)</f>
        <v>869.63668201313999</v>
      </c>
    </row>
    <row r="517" spans="1:2" x14ac:dyDescent="0.25">
      <c r="A517" s="2">
        <f>+WORKDAY(A516,1,Feriados!$A$2:$A$38)</f>
        <v>46436</v>
      </c>
      <c r="B517" s="3">
        <f>+IFERROR(VLOOKUP(A517,[3]Variables!$P:$Q,2,0),B516)</f>
        <v>869.63668201313999</v>
      </c>
    </row>
    <row r="518" spans="1:2" x14ac:dyDescent="0.25">
      <c r="A518" s="2">
        <f>+WORKDAY(A517,1,Feriados!$A$2:$A$38)</f>
        <v>46437</v>
      </c>
      <c r="B518" s="3">
        <f>+IFERROR(VLOOKUP(A518,[3]Variables!$P:$Q,2,0),B517)</f>
        <v>869.63668201313999</v>
      </c>
    </row>
    <row r="519" spans="1:2" x14ac:dyDescent="0.25">
      <c r="A519" s="2">
        <f>+WORKDAY(A518,1,Feriados!$A$2:$A$38)</f>
        <v>46440</v>
      </c>
      <c r="B519" s="3">
        <f>+IFERROR(VLOOKUP(A519,[3]Variables!$P:$Q,2,0),B518)</f>
        <v>869.63668201313999</v>
      </c>
    </row>
    <row r="520" spans="1:2" x14ac:dyDescent="0.25">
      <c r="A520" s="2">
        <f>+WORKDAY(A519,1,Feriados!$A$2:$A$38)</f>
        <v>46441</v>
      </c>
      <c r="B520" s="3">
        <f>+IFERROR(VLOOKUP(A520,[3]Variables!$P:$Q,2,0),B519)</f>
        <v>869.63668201313999</v>
      </c>
    </row>
    <row r="521" spans="1:2" x14ac:dyDescent="0.25">
      <c r="A521" s="2">
        <f>+WORKDAY(A520,1,Feriados!$A$2:$A$38)</f>
        <v>46442</v>
      </c>
      <c r="B521" s="3">
        <f>+IFERROR(VLOOKUP(A521,[3]Variables!$P:$Q,2,0),B520)</f>
        <v>869.63668201313999</v>
      </c>
    </row>
    <row r="522" spans="1:2" x14ac:dyDescent="0.25">
      <c r="A522" s="2">
        <f>+WORKDAY(A521,1,Feriados!$A$2:$A$38)</f>
        <v>46443</v>
      </c>
      <c r="B522" s="3">
        <f>+IFERROR(VLOOKUP(A522,[3]Variables!$P:$Q,2,0),B521)</f>
        <v>869.63668201313999</v>
      </c>
    </row>
    <row r="523" spans="1:2" x14ac:dyDescent="0.25">
      <c r="A523" s="2">
        <f>+WORKDAY(A522,1,Feriados!$A$2:$A$38)</f>
        <v>46444</v>
      </c>
      <c r="B523" s="3">
        <f>+IFERROR(VLOOKUP(A523,[3]Variables!$P:$Q,2,0),B522)</f>
        <v>869.63668201313999</v>
      </c>
    </row>
    <row r="524" spans="1:2" x14ac:dyDescent="0.25">
      <c r="A524" s="2">
        <f>+WORKDAY(A523,1,Feriados!$A$2:$A$38)</f>
        <v>46447</v>
      </c>
      <c r="B524" s="3">
        <f>+IFERROR(VLOOKUP(A524,[3]Variables!$P:$Q,2,0),B523)</f>
        <v>869.63668201313999</v>
      </c>
    </row>
    <row r="525" spans="1:2" x14ac:dyDescent="0.25">
      <c r="A525" s="2">
        <f>+WORKDAY(A524,1,Feriados!$A$2:$A$38)</f>
        <v>46448</v>
      </c>
      <c r="B525" s="3">
        <f>+IFERROR(VLOOKUP(A525,[3]Variables!$P:$Q,2,0),B524)</f>
        <v>869.63668201313999</v>
      </c>
    </row>
    <row r="526" spans="1:2" x14ac:dyDescent="0.25">
      <c r="A526" s="2">
        <f>+WORKDAY(A525,1,Feriados!$A$2:$A$38)</f>
        <v>46449</v>
      </c>
      <c r="B526" s="3">
        <f>+IFERROR(VLOOKUP(A526,[3]Variables!$P:$Q,2,0),B525)</f>
        <v>869.63668201313999</v>
      </c>
    </row>
    <row r="527" spans="1:2" x14ac:dyDescent="0.25">
      <c r="A527" s="2">
        <f>+WORKDAY(A526,1,Feriados!$A$2:$A$38)</f>
        <v>46450</v>
      </c>
      <c r="B527" s="3">
        <f>+IFERROR(VLOOKUP(A527,[3]Variables!$P:$Q,2,0),B526)</f>
        <v>869.63668201313999</v>
      </c>
    </row>
    <row r="528" spans="1:2" x14ac:dyDescent="0.25">
      <c r="A528" s="2">
        <f>+WORKDAY(A527,1,Feriados!$A$2:$A$38)</f>
        <v>46451</v>
      </c>
      <c r="B528" s="3">
        <f>+IFERROR(VLOOKUP(A528,[3]Variables!$P:$Q,2,0),B527)</f>
        <v>869.63668201313999</v>
      </c>
    </row>
    <row r="529" spans="1:2" x14ac:dyDescent="0.25">
      <c r="A529" s="2">
        <f>+WORKDAY(A528,1,Feriados!$A$2:$A$38)</f>
        <v>46454</v>
      </c>
      <c r="B529" s="3">
        <f>+IFERROR(VLOOKUP(A529,[3]Variables!$P:$Q,2,0),B528)</f>
        <v>869.63668201313999</v>
      </c>
    </row>
    <row r="530" spans="1:2" x14ac:dyDescent="0.25">
      <c r="A530" s="2">
        <f>+WORKDAY(A529,1,Feriados!$A$2:$A$38)</f>
        <v>46455</v>
      </c>
      <c r="B530" s="3">
        <f>+IFERROR(VLOOKUP(A530,[3]Variables!$P:$Q,2,0),B529)</f>
        <v>869.63668201313999</v>
      </c>
    </row>
    <row r="531" spans="1:2" x14ac:dyDescent="0.25">
      <c r="A531" s="2">
        <f>+WORKDAY(A530,1,Feriados!$A$2:$A$38)</f>
        <v>46456</v>
      </c>
      <c r="B531" s="3">
        <f>+IFERROR(VLOOKUP(A531,[3]Variables!$P:$Q,2,0),B530)</f>
        <v>869.63668201313999</v>
      </c>
    </row>
    <row r="532" spans="1:2" x14ac:dyDescent="0.25">
      <c r="A532" s="2">
        <f>+WORKDAY(A531,1,Feriados!$A$2:$A$38)</f>
        <v>46457</v>
      </c>
      <c r="B532" s="3">
        <f>+IFERROR(VLOOKUP(A532,[3]Variables!$P:$Q,2,0),B531)</f>
        <v>869.63668201313999</v>
      </c>
    </row>
    <row r="533" spans="1:2" x14ac:dyDescent="0.25">
      <c r="A533" s="2">
        <f>+WORKDAY(A532,1,Feriados!$A$2:$A$38)</f>
        <v>46458</v>
      </c>
      <c r="B533" s="3">
        <f>+IFERROR(VLOOKUP(A533,[3]Variables!$P:$Q,2,0),B532)</f>
        <v>869.63668201313999</v>
      </c>
    </row>
    <row r="534" spans="1:2" x14ac:dyDescent="0.25">
      <c r="A534" s="2">
        <f>+WORKDAY(A533,1,Feriados!$A$2:$A$38)</f>
        <v>46461</v>
      </c>
      <c r="B534" s="3">
        <f>+IFERROR(VLOOKUP(A534,[3]Variables!$P:$Q,2,0),B533)</f>
        <v>869.63668201313999</v>
      </c>
    </row>
    <row r="535" spans="1:2" x14ac:dyDescent="0.25">
      <c r="A535" s="2">
        <f>+WORKDAY(A534,1,Feriados!$A$2:$A$38)</f>
        <v>46462</v>
      </c>
      <c r="B535" s="3">
        <f>+IFERROR(VLOOKUP(A535,[3]Variables!$P:$Q,2,0),B534)</f>
        <v>869.63668201313999</v>
      </c>
    </row>
    <row r="536" spans="1:2" x14ac:dyDescent="0.25">
      <c r="A536" s="2">
        <f>+WORKDAY(A535,1,Feriados!$A$2:$A$38)</f>
        <v>46463</v>
      </c>
      <c r="B536" s="3">
        <f>+IFERROR(VLOOKUP(A536,[3]Variables!$P:$Q,2,0),B535)</f>
        <v>869.63668201313999</v>
      </c>
    </row>
    <row r="537" spans="1:2" x14ac:dyDescent="0.25">
      <c r="A537" s="2">
        <f>+WORKDAY(A536,1,Feriados!$A$2:$A$38)</f>
        <v>46464</v>
      </c>
      <c r="B537" s="3">
        <f>+IFERROR(VLOOKUP(A537,[3]Variables!$P:$Q,2,0),B536)</f>
        <v>869.63668201313999</v>
      </c>
    </row>
    <row r="538" spans="1:2" x14ac:dyDescent="0.25">
      <c r="A538" s="2">
        <f>+WORKDAY(A537,1,Feriados!$A$2:$A$38)</f>
        <v>46465</v>
      </c>
      <c r="B538" s="3">
        <f>+IFERROR(VLOOKUP(A538,[3]Variables!$P:$Q,2,0),B537)</f>
        <v>869.63668201313999</v>
      </c>
    </row>
    <row r="539" spans="1:2" x14ac:dyDescent="0.25">
      <c r="A539" s="2">
        <f>+WORKDAY(A538,1,Feriados!$A$2:$A$38)</f>
        <v>46468</v>
      </c>
      <c r="B539" s="3">
        <f>+IFERROR(VLOOKUP(A539,[3]Variables!$P:$Q,2,0),B538)</f>
        <v>869.63668201313999</v>
      </c>
    </row>
    <row r="540" spans="1:2" x14ac:dyDescent="0.25">
      <c r="A540" s="2">
        <f>+WORKDAY(A539,1,Feriados!$A$2:$A$38)</f>
        <v>46469</v>
      </c>
      <c r="B540" s="3">
        <f>+IFERROR(VLOOKUP(A540,[3]Variables!$P:$Q,2,0),B539)</f>
        <v>869.63668201313999</v>
      </c>
    </row>
    <row r="541" spans="1:2" x14ac:dyDescent="0.25">
      <c r="A541" s="2">
        <f>+WORKDAY(A540,1,Feriados!$A$2:$A$38)</f>
        <v>46470</v>
      </c>
      <c r="B541" s="3">
        <f>+IFERROR(VLOOKUP(A541,[3]Variables!$P:$Q,2,0),B540)</f>
        <v>869.63668201313999</v>
      </c>
    </row>
    <row r="542" spans="1:2" x14ac:dyDescent="0.25">
      <c r="A542" s="2">
        <f>+WORKDAY(A541,1,Feriados!$A$2:$A$38)</f>
        <v>46471</v>
      </c>
      <c r="B542" s="3">
        <f>+IFERROR(VLOOKUP(A542,[3]Variables!$P:$Q,2,0),B541)</f>
        <v>869.63668201313999</v>
      </c>
    </row>
    <row r="543" spans="1:2" x14ac:dyDescent="0.25">
      <c r="A543" s="2">
        <f>+WORKDAY(A542,1,Feriados!$A$2:$A$38)</f>
        <v>46472</v>
      </c>
      <c r="B543" s="3">
        <f>+IFERROR(VLOOKUP(A543,[3]Variables!$P:$Q,2,0),B542)</f>
        <v>869.63668201313999</v>
      </c>
    </row>
    <row r="544" spans="1:2" x14ac:dyDescent="0.25">
      <c r="A544" s="2">
        <f>+WORKDAY(A543,1,Feriados!$A$2:$A$38)</f>
        <v>46475</v>
      </c>
      <c r="B544" s="3">
        <f>+IFERROR(VLOOKUP(A544,[3]Variables!$P:$Q,2,0),B543)</f>
        <v>869.63668201313999</v>
      </c>
    </row>
    <row r="545" spans="1:2" x14ac:dyDescent="0.25">
      <c r="A545" s="2">
        <f>+WORKDAY(A544,1,Feriados!$A$2:$A$38)</f>
        <v>46476</v>
      </c>
      <c r="B545" s="3">
        <f>+IFERROR(VLOOKUP(A545,[3]Variables!$P:$Q,2,0),B544)</f>
        <v>869.63668201313999</v>
      </c>
    </row>
    <row r="546" spans="1:2" x14ac:dyDescent="0.25">
      <c r="A546" s="2">
        <f>+WORKDAY(A545,1,Feriados!$A$2:$A$38)</f>
        <v>46477</v>
      </c>
      <c r="B546" s="3">
        <f>+IFERROR(VLOOKUP(A546,[3]Variables!$P:$Q,2,0),B545)</f>
        <v>869.63668201313999</v>
      </c>
    </row>
    <row r="547" spans="1:2" x14ac:dyDescent="0.25">
      <c r="A547" s="2">
        <f>+WORKDAY(A546,1,Feriados!$A$2:$A$38)</f>
        <v>46478</v>
      </c>
      <c r="B547" s="3">
        <f>+IFERROR(VLOOKUP(A547,[3]Variables!$P:$Q,2,0),B546)</f>
        <v>869.63668201313999</v>
      </c>
    </row>
    <row r="548" spans="1:2" x14ac:dyDescent="0.25">
      <c r="A548" s="2">
        <f>+WORKDAY(A547,1,Feriados!$A$2:$A$38)</f>
        <v>46479</v>
      </c>
      <c r="B548" s="3">
        <f>+IFERROR(VLOOKUP(A548,[3]Variables!$P:$Q,2,0),B547)</f>
        <v>869.63668201313999</v>
      </c>
    </row>
    <row r="549" spans="1:2" x14ac:dyDescent="0.25">
      <c r="A549" s="2">
        <f>+WORKDAY(A548,1,Feriados!$A$2:$A$38)</f>
        <v>46482</v>
      </c>
      <c r="B549" s="3">
        <f>+IFERROR(VLOOKUP(A549,[3]Variables!$P:$Q,2,0),B548)</f>
        <v>869.63668201313999</v>
      </c>
    </row>
    <row r="550" spans="1:2" x14ac:dyDescent="0.25">
      <c r="A550" s="2">
        <f>+WORKDAY(A549,1,Feriados!$A$2:$A$38)</f>
        <v>46483</v>
      </c>
      <c r="B550" s="3">
        <f>+IFERROR(VLOOKUP(A550,[3]Variables!$P:$Q,2,0),B549)</f>
        <v>869.63668201313999</v>
      </c>
    </row>
    <row r="551" spans="1:2" x14ac:dyDescent="0.25">
      <c r="A551" s="2">
        <f>+WORKDAY(A550,1,Feriados!$A$2:$A$38)</f>
        <v>46484</v>
      </c>
      <c r="B551" s="3">
        <f>+IFERROR(VLOOKUP(A551,[3]Variables!$P:$Q,2,0),B550)</f>
        <v>869.63668201313999</v>
      </c>
    </row>
    <row r="552" spans="1:2" x14ac:dyDescent="0.25">
      <c r="A552" s="2">
        <f>+WORKDAY(A551,1,Feriados!$A$2:$A$38)</f>
        <v>46485</v>
      </c>
      <c r="B552" s="3">
        <f>+IFERROR(VLOOKUP(A552,[3]Variables!$P:$Q,2,0),B551)</f>
        <v>869.63668201313999</v>
      </c>
    </row>
    <row r="553" spans="1:2" x14ac:dyDescent="0.25">
      <c r="A553" s="2">
        <f>+WORKDAY(A552,1,Feriados!$A$2:$A$38)</f>
        <v>46486</v>
      </c>
      <c r="B553" s="3">
        <f>+IFERROR(VLOOKUP(A553,[3]Variables!$P:$Q,2,0),B552)</f>
        <v>869.63668201313999</v>
      </c>
    </row>
    <row r="554" spans="1:2" x14ac:dyDescent="0.25">
      <c r="A554" s="2">
        <f>+WORKDAY(A553,1,Feriados!$A$2:$A$38)</f>
        <v>46489</v>
      </c>
      <c r="B554" s="3">
        <f>+IFERROR(VLOOKUP(A554,[3]Variables!$P:$Q,2,0),B553)</f>
        <v>869.63668201313999</v>
      </c>
    </row>
    <row r="555" spans="1:2" x14ac:dyDescent="0.25">
      <c r="A555" s="2">
        <f>+WORKDAY(A554,1,Feriados!$A$2:$A$38)</f>
        <v>46490</v>
      </c>
      <c r="B555" s="3">
        <f>+IFERROR(VLOOKUP(A555,[3]Variables!$P:$Q,2,0),B554)</f>
        <v>869.63668201313999</v>
      </c>
    </row>
    <row r="556" spans="1:2" x14ac:dyDescent="0.25">
      <c r="A556" s="2">
        <f>+WORKDAY(A555,1,Feriados!$A$2:$A$38)</f>
        <v>46491</v>
      </c>
      <c r="B556" s="3">
        <f>+IFERROR(VLOOKUP(A556,[3]Variables!$P:$Q,2,0),B555)</f>
        <v>869.63668201313999</v>
      </c>
    </row>
    <row r="557" spans="1:2" x14ac:dyDescent="0.25">
      <c r="A557" s="2">
        <f>+WORKDAY(A556,1,Feriados!$A$2:$A$38)</f>
        <v>46492</v>
      </c>
      <c r="B557" s="3">
        <f>+IFERROR(VLOOKUP(A557,[3]Variables!$P:$Q,2,0),B556)</f>
        <v>869.63668201313999</v>
      </c>
    </row>
    <row r="558" spans="1:2" x14ac:dyDescent="0.25">
      <c r="A558" s="2">
        <f>+WORKDAY(A557,1,Feriados!$A$2:$A$38)</f>
        <v>46493</v>
      </c>
      <c r="B558" s="3">
        <f>+IFERROR(VLOOKUP(A558,[3]Variables!$P:$Q,2,0),B557)</f>
        <v>869.63668201313999</v>
      </c>
    </row>
    <row r="559" spans="1:2" x14ac:dyDescent="0.25">
      <c r="A559" s="2">
        <f>+WORKDAY(A558,1,Feriados!$A$2:$A$38)</f>
        <v>46496</v>
      </c>
      <c r="B559" s="3">
        <f>+IFERROR(VLOOKUP(A559,[3]Variables!$P:$Q,2,0),B558)</f>
        <v>869.63668201313999</v>
      </c>
    </row>
    <row r="560" spans="1:2" x14ac:dyDescent="0.25">
      <c r="A560" s="2">
        <f>+WORKDAY(A559,1,Feriados!$A$2:$A$38)</f>
        <v>46497</v>
      </c>
      <c r="B560" s="3">
        <f>+IFERROR(VLOOKUP(A560,[3]Variables!$P:$Q,2,0),B559)</f>
        <v>869.63668201313999</v>
      </c>
    </row>
    <row r="561" spans="1:2" x14ac:dyDescent="0.25">
      <c r="A561" s="2">
        <f>+WORKDAY(A560,1,Feriados!$A$2:$A$38)</f>
        <v>46498</v>
      </c>
      <c r="B561" s="3">
        <f>+IFERROR(VLOOKUP(A561,[3]Variables!$P:$Q,2,0),B560)</f>
        <v>869.63668201313999</v>
      </c>
    </row>
    <row r="562" spans="1:2" x14ac:dyDescent="0.25">
      <c r="A562" s="2">
        <f>+WORKDAY(A561,1,Feriados!$A$2:$A$38)</f>
        <v>46499</v>
      </c>
      <c r="B562" s="3">
        <f>+IFERROR(VLOOKUP(A562,[3]Variables!$P:$Q,2,0),B561)</f>
        <v>869.63668201313999</v>
      </c>
    </row>
    <row r="563" spans="1:2" x14ac:dyDescent="0.25">
      <c r="A563" s="2">
        <f>+WORKDAY(A562,1,Feriados!$A$2:$A$38)</f>
        <v>46500</v>
      </c>
      <c r="B563" s="3">
        <f>+IFERROR(VLOOKUP(A563,[3]Variables!$P:$Q,2,0),B562)</f>
        <v>869.63668201313999</v>
      </c>
    </row>
    <row r="564" spans="1:2" x14ac:dyDescent="0.25">
      <c r="A564" s="2">
        <f>+WORKDAY(A563,1,Feriados!$A$2:$A$38)</f>
        <v>46503</v>
      </c>
      <c r="B564" s="3">
        <f>+IFERROR(VLOOKUP(A564,[3]Variables!$P:$Q,2,0),B563)</f>
        <v>869.63668201313999</v>
      </c>
    </row>
    <row r="565" spans="1:2" x14ac:dyDescent="0.25">
      <c r="A565" s="2">
        <f>+WORKDAY(A564,1,Feriados!$A$2:$A$38)</f>
        <v>46504</v>
      </c>
      <c r="B565" s="3">
        <f>+IFERROR(VLOOKUP(A565,[3]Variables!$P:$Q,2,0),B564)</f>
        <v>869.63668201313999</v>
      </c>
    </row>
    <row r="566" spans="1:2" x14ac:dyDescent="0.25">
      <c r="A566" s="2">
        <f>+WORKDAY(A565,1,Feriados!$A$2:$A$38)</f>
        <v>46505</v>
      </c>
      <c r="B566" s="3">
        <f>+IFERROR(VLOOKUP(A566,[3]Variables!$P:$Q,2,0),B565)</f>
        <v>869.63668201313999</v>
      </c>
    </row>
    <row r="567" spans="1:2" x14ac:dyDescent="0.25">
      <c r="A567" s="2">
        <f>+WORKDAY(A566,1,Feriados!$A$2:$A$38)</f>
        <v>46506</v>
      </c>
      <c r="B567" s="3">
        <f>+IFERROR(VLOOKUP(A567,[3]Variables!$P:$Q,2,0),B566)</f>
        <v>869.63668201313999</v>
      </c>
    </row>
    <row r="568" spans="1:2" x14ac:dyDescent="0.25">
      <c r="A568" s="2">
        <f>+WORKDAY(A567,1,Feriados!$A$2:$A$38)</f>
        <v>46507</v>
      </c>
      <c r="B568" s="3">
        <f>+IFERROR(VLOOKUP(A568,[3]Variables!$P:$Q,2,0),B567)</f>
        <v>869.63668201313999</v>
      </c>
    </row>
    <row r="569" spans="1:2" x14ac:dyDescent="0.25">
      <c r="A569" s="2">
        <f>+WORKDAY(A568,1,Feriados!$A$2:$A$38)</f>
        <v>46510</v>
      </c>
      <c r="B569" s="3">
        <f>+IFERROR(VLOOKUP(A569,[3]Variables!$P:$Q,2,0),B568)</f>
        <v>869.63668201313999</v>
      </c>
    </row>
    <row r="570" spans="1:2" x14ac:dyDescent="0.25">
      <c r="A570" s="2">
        <f>+WORKDAY(A569,1,Feriados!$A$2:$A$38)</f>
        <v>46511</v>
      </c>
      <c r="B570" s="3">
        <f>+IFERROR(VLOOKUP(A570,[3]Variables!$P:$Q,2,0),B569)</f>
        <v>869.63668201313999</v>
      </c>
    </row>
    <row r="571" spans="1:2" x14ac:dyDescent="0.25">
      <c r="A571" s="2">
        <f>+WORKDAY(A570,1,Feriados!$A$2:$A$38)</f>
        <v>46512</v>
      </c>
      <c r="B571" s="3">
        <f>+IFERROR(VLOOKUP(A571,[3]Variables!$P:$Q,2,0),B570)</f>
        <v>869.63668201313999</v>
      </c>
    </row>
    <row r="572" spans="1:2" x14ac:dyDescent="0.25">
      <c r="A572" s="2">
        <f>+WORKDAY(A571,1,Feriados!$A$2:$A$38)</f>
        <v>46513</v>
      </c>
      <c r="B572" s="3">
        <f>+IFERROR(VLOOKUP(A572,[3]Variables!$P:$Q,2,0),B571)</f>
        <v>869.63668201313999</v>
      </c>
    </row>
    <row r="573" spans="1:2" x14ac:dyDescent="0.25">
      <c r="A573" s="2">
        <f>+WORKDAY(A572,1,Feriados!$A$2:$A$38)</f>
        <v>46514</v>
      </c>
      <c r="B573" s="3">
        <f>+IFERROR(VLOOKUP(A573,[3]Variables!$P:$Q,2,0),B572)</f>
        <v>869.63668201313999</v>
      </c>
    </row>
    <row r="574" spans="1:2" x14ac:dyDescent="0.25">
      <c r="A574" s="2">
        <f>+WORKDAY(A573,1,Feriados!$A$2:$A$38)</f>
        <v>46517</v>
      </c>
      <c r="B574" s="3">
        <f>+IFERROR(VLOOKUP(A574,[3]Variables!$P:$Q,2,0),B573)</f>
        <v>869.63668201313999</v>
      </c>
    </row>
    <row r="575" spans="1:2" x14ac:dyDescent="0.25">
      <c r="A575" s="2">
        <f>+WORKDAY(A574,1,Feriados!$A$2:$A$38)</f>
        <v>46518</v>
      </c>
      <c r="B575" s="3">
        <f>+IFERROR(VLOOKUP(A575,[3]Variables!$P:$Q,2,0),B574)</f>
        <v>869.63668201313999</v>
      </c>
    </row>
    <row r="576" spans="1:2" x14ac:dyDescent="0.25">
      <c r="A576" s="2">
        <f>+WORKDAY(A575,1,Feriados!$A$2:$A$38)</f>
        <v>46519</v>
      </c>
      <c r="B576" s="3">
        <f>+IFERROR(VLOOKUP(A576,[3]Variables!$P:$Q,2,0),B575)</f>
        <v>869.63668201313999</v>
      </c>
    </row>
    <row r="577" spans="1:2" x14ac:dyDescent="0.25">
      <c r="A577" s="2">
        <f>+WORKDAY(A576,1,Feriados!$A$2:$A$38)</f>
        <v>46520</v>
      </c>
      <c r="B577" s="3">
        <f>+IFERROR(VLOOKUP(A577,[3]Variables!$P:$Q,2,0),B576)</f>
        <v>869.63668201313999</v>
      </c>
    </row>
    <row r="578" spans="1:2" x14ac:dyDescent="0.25">
      <c r="A578" s="2">
        <f>+WORKDAY(A577,1,Feriados!$A$2:$A$38)</f>
        <v>46521</v>
      </c>
      <c r="B578" s="3">
        <f>+IFERROR(VLOOKUP(A578,[3]Variables!$P:$Q,2,0),B577)</f>
        <v>869.63668201313999</v>
      </c>
    </row>
    <row r="579" spans="1:2" x14ac:dyDescent="0.25">
      <c r="A579" s="2">
        <f>+WORKDAY(A578,1,Feriados!$A$2:$A$38)</f>
        <v>46524</v>
      </c>
      <c r="B579" s="3">
        <f>+IFERROR(VLOOKUP(A579,[3]Variables!$P:$Q,2,0),B578)</f>
        <v>869.63668201313999</v>
      </c>
    </row>
    <row r="580" spans="1:2" x14ac:dyDescent="0.25">
      <c r="A580" s="2">
        <f>+WORKDAY(A579,1,Feriados!$A$2:$A$38)</f>
        <v>46525</v>
      </c>
      <c r="B580" s="3">
        <f>+IFERROR(VLOOKUP(A580,[3]Variables!$P:$Q,2,0),B579)</f>
        <v>869.63668201313999</v>
      </c>
    </row>
    <row r="581" spans="1:2" x14ac:dyDescent="0.25">
      <c r="A581" s="2">
        <f>+WORKDAY(A580,1,Feriados!$A$2:$A$38)</f>
        <v>46526</v>
      </c>
      <c r="B581" s="3">
        <f>+IFERROR(VLOOKUP(A581,[3]Variables!$P:$Q,2,0),B580)</f>
        <v>869.63668201313999</v>
      </c>
    </row>
    <row r="582" spans="1:2" x14ac:dyDescent="0.25">
      <c r="A582" s="2">
        <f>+WORKDAY(A581,1,Feriados!$A$2:$A$38)</f>
        <v>46527</v>
      </c>
      <c r="B582" s="3">
        <f>+IFERROR(VLOOKUP(A582,[3]Variables!$P:$Q,2,0),B581)</f>
        <v>869.63668201313999</v>
      </c>
    </row>
    <row r="583" spans="1:2" x14ac:dyDescent="0.25">
      <c r="A583" s="2">
        <f>+WORKDAY(A582,1,Feriados!$A$2:$A$38)</f>
        <v>46528</v>
      </c>
      <c r="B583" s="3">
        <f>+IFERROR(VLOOKUP(A583,[3]Variables!$P:$Q,2,0),B582)</f>
        <v>869.63668201313999</v>
      </c>
    </row>
    <row r="584" spans="1:2" x14ac:dyDescent="0.25">
      <c r="A584" s="2">
        <f>+WORKDAY(A583,1,Feriados!$A$2:$A$38)</f>
        <v>46531</v>
      </c>
      <c r="B584" s="3">
        <f>+IFERROR(VLOOKUP(A584,[3]Variables!$P:$Q,2,0),B583)</f>
        <v>869.63668201313999</v>
      </c>
    </row>
    <row r="585" spans="1:2" x14ac:dyDescent="0.25">
      <c r="A585" s="2">
        <f>+WORKDAY(A584,1,Feriados!$A$2:$A$38)</f>
        <v>46532</v>
      </c>
      <c r="B585" s="3">
        <f>+IFERROR(VLOOKUP(A585,[3]Variables!$P:$Q,2,0),B584)</f>
        <v>869.63668201313999</v>
      </c>
    </row>
    <row r="586" spans="1:2" x14ac:dyDescent="0.25">
      <c r="A586" s="2">
        <f>+WORKDAY(A585,1,Feriados!$A$2:$A$38)</f>
        <v>46533</v>
      </c>
      <c r="B586" s="3">
        <f>+IFERROR(VLOOKUP(A586,[3]Variables!$P:$Q,2,0),B585)</f>
        <v>869.63668201313999</v>
      </c>
    </row>
    <row r="587" spans="1:2" x14ac:dyDescent="0.25">
      <c r="A587" s="2">
        <f>+WORKDAY(A586,1,Feriados!$A$2:$A$38)</f>
        <v>46534</v>
      </c>
      <c r="B587" s="3">
        <f>+IFERROR(VLOOKUP(A587,[3]Variables!$P:$Q,2,0),B586)</f>
        <v>869.63668201313999</v>
      </c>
    </row>
    <row r="588" spans="1:2" x14ac:dyDescent="0.25">
      <c r="A588" s="2">
        <f>+WORKDAY(A587,1,Feriados!$A$2:$A$38)</f>
        <v>46535</v>
      </c>
      <c r="B588" s="3">
        <f>+IFERROR(VLOOKUP(A588,[3]Variables!$P:$Q,2,0),B587)</f>
        <v>869.63668201313999</v>
      </c>
    </row>
    <row r="589" spans="1:2" x14ac:dyDescent="0.25">
      <c r="A589" s="2">
        <f>+WORKDAY(A588,1,Feriados!$A$2:$A$38)</f>
        <v>46538</v>
      </c>
      <c r="B589" s="3">
        <f>+IFERROR(VLOOKUP(A589,[3]Variables!$P:$Q,2,0),B588)</f>
        <v>869.63668201313999</v>
      </c>
    </row>
    <row r="590" spans="1:2" x14ac:dyDescent="0.25">
      <c r="A590" s="2">
        <f>+WORKDAY(A589,1,Feriados!$A$2:$A$38)</f>
        <v>46539</v>
      </c>
      <c r="B590" s="3">
        <f>+IFERROR(VLOOKUP(A590,[3]Variables!$P:$Q,2,0),B589)</f>
        <v>869.63668201313999</v>
      </c>
    </row>
    <row r="591" spans="1:2" x14ac:dyDescent="0.25">
      <c r="A591" s="2">
        <f>+WORKDAY(A590,1,Feriados!$A$2:$A$38)</f>
        <v>46540</v>
      </c>
      <c r="B591" s="3">
        <f>+IFERROR(VLOOKUP(A591,[3]Variables!$P:$Q,2,0),B590)</f>
        <v>869.63668201313999</v>
      </c>
    </row>
    <row r="592" spans="1:2" x14ac:dyDescent="0.25">
      <c r="A592" s="2">
        <f>+WORKDAY(A591,1,Feriados!$A$2:$A$38)</f>
        <v>46541</v>
      </c>
      <c r="B592" s="3">
        <f>+IFERROR(VLOOKUP(A592,[3]Variables!$P:$Q,2,0),B591)</f>
        <v>869.63668201313999</v>
      </c>
    </row>
    <row r="593" spans="1:2" x14ac:dyDescent="0.25">
      <c r="A593" s="2">
        <f>+WORKDAY(A592,1,Feriados!$A$2:$A$38)</f>
        <v>46542</v>
      </c>
      <c r="B593" s="3">
        <f>+IFERROR(VLOOKUP(A593,[3]Variables!$P:$Q,2,0),B592)</f>
        <v>869.63668201313999</v>
      </c>
    </row>
    <row r="594" spans="1:2" x14ac:dyDescent="0.25">
      <c r="A594" s="2">
        <f>+WORKDAY(A593,1,Feriados!$A$2:$A$38)</f>
        <v>46545</v>
      </c>
      <c r="B594" s="3">
        <f>+IFERROR(VLOOKUP(A594,[3]Variables!$P:$Q,2,0),B593)</f>
        <v>869.63668201313999</v>
      </c>
    </row>
    <row r="595" spans="1:2" x14ac:dyDescent="0.25">
      <c r="A595" s="2">
        <f>+WORKDAY(A594,1,Feriados!$A$2:$A$38)</f>
        <v>46546</v>
      </c>
      <c r="B595" s="3">
        <f>+IFERROR(VLOOKUP(A595,[3]Variables!$P:$Q,2,0),B594)</f>
        <v>869.63668201313999</v>
      </c>
    </row>
    <row r="596" spans="1:2" x14ac:dyDescent="0.25">
      <c r="A596" s="2">
        <f>+WORKDAY(A595,1,Feriados!$A$2:$A$38)</f>
        <v>46547</v>
      </c>
      <c r="B596" s="3">
        <f>+IFERROR(VLOOKUP(A596,[3]Variables!$P:$Q,2,0),B595)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C24" sqref="C24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+[5]Hoja1!$B31</f>
        <v>46167</v>
      </c>
    </row>
    <row r="3" spans="1:1" x14ac:dyDescent="0.25">
      <c r="A3" s="1">
        <f>+[5]Hoja1!$B32</f>
        <v>46188</v>
      </c>
    </row>
    <row r="4" spans="1:1" x14ac:dyDescent="0.25">
      <c r="A4" s="1">
        <f>+[5]Hoja1!$B33</f>
        <v>46212</v>
      </c>
    </row>
    <row r="5" spans="1:1" x14ac:dyDescent="0.25">
      <c r="A5" s="1">
        <f>+[5]Hoja1!$B34</f>
        <v>46213</v>
      </c>
    </row>
    <row r="6" spans="1:1" x14ac:dyDescent="0.25">
      <c r="A6" s="1">
        <f>+[5]Hoja1!$B35</f>
        <v>46251</v>
      </c>
    </row>
    <row r="7" spans="1:1" x14ac:dyDescent="0.25">
      <c r="A7" s="1">
        <f>+[5]Hoja1!$B36</f>
        <v>46307</v>
      </c>
    </row>
    <row r="8" spans="1:1" x14ac:dyDescent="0.25">
      <c r="A8" s="1">
        <f>+[5]Hoja1!$B37</f>
        <v>46332</v>
      </c>
    </row>
    <row r="9" spans="1:1" x14ac:dyDescent="0.25">
      <c r="A9" s="1">
        <f>+[5]Hoja1!$B38</f>
        <v>46335</v>
      </c>
    </row>
    <row r="10" spans="1:1" x14ac:dyDescent="0.25">
      <c r="A10" s="1">
        <f>+[5]Hoja1!$B39</f>
        <v>46336</v>
      </c>
    </row>
    <row r="11" spans="1:1" x14ac:dyDescent="0.25">
      <c r="A11" s="1">
        <f>+[5]Hoja1!$B40</f>
        <v>46349</v>
      </c>
    </row>
    <row r="12" spans="1:1" x14ac:dyDescent="0.25">
      <c r="A12" s="1">
        <f>+[5]Hoja1!$B41</f>
        <v>46363</v>
      </c>
    </row>
    <row r="13" spans="1:1" x14ac:dyDescent="0.25">
      <c r="A13" s="1">
        <f>+[5]Hoja1!$B42</f>
        <v>46364</v>
      </c>
    </row>
    <row r="14" spans="1:1" x14ac:dyDescent="0.25">
      <c r="A14" s="1">
        <f>+[5]Hoja1!$B43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tabSelected="1" workbookViewId="0">
      <selection activeCell="C4" sqref="C4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3</v>
      </c>
      <c r="B2" s="8">
        <v>46265</v>
      </c>
      <c r="C2" s="8">
        <v>46416</v>
      </c>
      <c r="D2" s="7">
        <v>2.1899999999999999E-2</v>
      </c>
    </row>
    <row r="3" spans="1:4" x14ac:dyDescent="0.25">
      <c r="A3" t="s">
        <v>11</v>
      </c>
      <c r="B3" s="8">
        <v>46006</v>
      </c>
      <c r="C3" s="8">
        <v>46538</v>
      </c>
      <c r="D3" s="7">
        <v>2.4E-2</v>
      </c>
    </row>
    <row r="4" spans="1:4" x14ac:dyDescent="0.25">
      <c r="A4" t="s">
        <v>15</v>
      </c>
      <c r="B4" s="8">
        <v>46006</v>
      </c>
      <c r="C4" s="8">
        <v>46356</v>
      </c>
      <c r="D4" s="7">
        <v>2.3E-2</v>
      </c>
    </row>
    <row r="5" spans="1:4" x14ac:dyDescent="0.25">
      <c r="A5" t="s">
        <v>16</v>
      </c>
      <c r="B5" s="8">
        <v>45961</v>
      </c>
      <c r="C5" s="8">
        <v>46507</v>
      </c>
      <c r="D5" s="7">
        <v>2.5499999999999998E-2</v>
      </c>
    </row>
    <row r="6" spans="1:4" x14ac:dyDescent="0.25">
      <c r="A6" t="s">
        <v>17</v>
      </c>
      <c r="B6" s="8">
        <v>46038</v>
      </c>
      <c r="C6" s="8">
        <v>46568</v>
      </c>
      <c r="D6" s="7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K18" sqref="K18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25">
      <c r="A3" t="s">
        <v>12</v>
      </c>
      <c r="B3" s="9">
        <v>46203</v>
      </c>
      <c r="C3" s="8">
        <v>46598</v>
      </c>
      <c r="D3" s="7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H19" sqref="H19"/>
    </sheetView>
  </sheetViews>
  <sheetFormatPr baseColWidth="10" defaultRowHeight="15" x14ac:dyDescent="0.25"/>
  <sheetData>
    <row r="1" spans="1:5" x14ac:dyDescent="0.25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25">
      <c r="A2" t="s">
        <v>13</v>
      </c>
      <c r="B2" s="8">
        <v>46248</v>
      </c>
      <c r="C2" s="8">
        <v>46416</v>
      </c>
      <c r="D2" s="7">
        <v>0</v>
      </c>
      <c r="E2">
        <v>815.43449999999996</v>
      </c>
    </row>
    <row r="3" spans="1:5" x14ac:dyDescent="0.25">
      <c r="A3" t="s">
        <v>14</v>
      </c>
      <c r="B3" s="8">
        <v>46006</v>
      </c>
      <c r="C3" s="8">
        <v>46538</v>
      </c>
      <c r="D3" s="7">
        <v>0</v>
      </c>
      <c r="E3">
        <v>659.6789</v>
      </c>
    </row>
    <row r="4" spans="1:5" x14ac:dyDescent="0.25">
      <c r="A4" t="s">
        <v>18</v>
      </c>
      <c r="B4" s="8">
        <v>45323</v>
      </c>
      <c r="C4" s="8">
        <v>46568</v>
      </c>
      <c r="D4" s="7">
        <v>0</v>
      </c>
      <c r="E4">
        <v>200.38800000000001</v>
      </c>
    </row>
    <row r="5" spans="1:5" x14ac:dyDescent="0.25">
      <c r="A5" t="s">
        <v>19</v>
      </c>
      <c r="B5" s="8">
        <v>45989</v>
      </c>
      <c r="C5" s="8">
        <v>46507</v>
      </c>
      <c r="D5" s="7">
        <v>0</v>
      </c>
      <c r="E5">
        <v>651.8981</v>
      </c>
    </row>
    <row r="6" spans="1:5" x14ac:dyDescent="0.25">
      <c r="A6" t="s">
        <v>20</v>
      </c>
      <c r="B6" s="8">
        <v>46006</v>
      </c>
      <c r="C6" s="8">
        <v>46356</v>
      </c>
      <c r="D6" s="7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Precios</vt:lpstr>
      <vt:lpstr>Tamar</vt:lpstr>
      <vt:lpstr>CER</vt:lpstr>
      <vt:lpstr>Feriados</vt:lpstr>
      <vt:lpstr>Lecaps</vt:lpstr>
      <vt:lpstr>Letam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2026-10-19T17:47:55Z</dcterms:modified>
</cp:coreProperties>
</file>