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macro.com.ar\DFSMACRO\MacroFondos\Sud-Valores\Rama\Calculadoras\BE CER y Tamar\"/>
    </mc:Choice>
  </mc:AlternateContent>
  <xr:revisionPtr revIDLastSave="0" documentId="13_ncr:1_{63798A04-F583-4EC1-AD4F-29CCA422D1DD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</externalReferenc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3" i="1" l="1"/>
  <c r="A420" i="6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A163" i="3"/>
  <c r="A426" i="1"/>
  <c r="B426" i="1" s="1"/>
  <c r="A164" i="3" l="1"/>
  <c r="A165" i="3" s="1"/>
  <c r="A166" i="3" s="1"/>
  <c r="A167" i="3" s="1"/>
  <c r="A168" i="3" s="1"/>
  <c r="A443" i="6"/>
  <c r="B442" i="6"/>
  <c r="A427" i="1"/>
  <c r="B427" i="1" s="1"/>
  <c r="A169" i="3" l="1"/>
  <c r="A170" i="3" s="1"/>
  <c r="A171" i="3" s="1"/>
  <c r="A444" i="6"/>
  <c r="B443" i="6"/>
  <c r="A428" i="1"/>
  <c r="B428" i="1" s="1"/>
  <c r="A172" i="3" l="1"/>
  <c r="A445" i="6"/>
  <c r="B444" i="6"/>
  <c r="A429" i="1"/>
  <c r="B429" i="1" s="1"/>
  <c r="A173" i="3" l="1"/>
  <c r="G172" i="3"/>
  <c r="K172" i="3"/>
  <c r="M172" i="3"/>
  <c r="B172" i="3"/>
  <c r="F172" i="3"/>
  <c r="H172" i="3"/>
  <c r="N172" i="3"/>
  <c r="L172" i="3"/>
  <c r="J172" i="3"/>
  <c r="D172" i="3"/>
  <c r="C172" i="3"/>
  <c r="P172" i="3"/>
  <c r="Q172" i="3"/>
  <c r="A446" i="6"/>
  <c r="B445" i="6"/>
  <c r="A430" i="1"/>
  <c r="B430" i="1" s="1"/>
  <c r="J173" i="3" l="1"/>
  <c r="L173" i="3"/>
  <c r="N173" i="3"/>
  <c r="H173" i="3"/>
  <c r="F173" i="3"/>
  <c r="B173" i="3"/>
  <c r="M173" i="3"/>
  <c r="K173" i="3"/>
  <c r="G173" i="3"/>
  <c r="C173" i="3"/>
  <c r="Q173" i="3"/>
  <c r="P173" i="3"/>
  <c r="D173" i="3"/>
  <c r="A447" i="6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B435" i="1"/>
  <c r="A452" i="6"/>
  <c r="B451" i="6"/>
  <c r="A437" i="1" l="1"/>
  <c r="B436" i="1"/>
  <c r="A453" i="6"/>
  <c r="B452" i="6"/>
  <c r="A438" i="1" l="1"/>
  <c r="B437" i="1"/>
  <c r="A454" i="6"/>
  <c r="B453" i="6"/>
  <c r="B438" i="1" l="1"/>
  <c r="A439" i="1"/>
  <c r="A455" i="6"/>
  <c r="B454" i="6"/>
  <c r="A440" i="1" l="1"/>
  <c r="B439" i="1"/>
  <c r="A456" i="6"/>
  <c r="B455" i="6"/>
  <c r="A441" i="1" l="1"/>
  <c r="B440" i="1"/>
  <c r="A457" i="6"/>
  <c r="B456" i="6"/>
  <c r="A442" i="1" l="1"/>
  <c r="B441" i="1"/>
  <c r="A458" i="6"/>
  <c r="B457" i="6"/>
  <c r="B442" i="1" l="1"/>
  <c r="A443" i="1"/>
  <c r="A459" i="6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<sst xmlns="http://schemas.openxmlformats.org/spreadsheetml/2006/main" count="49" uniqueCount="24">
  <si>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</si>
  <si>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</si>
  <si>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</si>
  <si>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</si>
  <si>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</si>
  <si>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</si>
  <si>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</si>
  <si>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</si>
  <si>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</si>
  <si>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</si>
  <si>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</si>
  <si>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</si>
  <si>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</si>
  <si>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</si>
  <si>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</si>
  <si>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</si>
  <si>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</si>
  <si>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</si>
  <si>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</si>
  <si>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</si>
  <si>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</si>
  <si>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</si>
  <si>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</si>
  <si>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S26F7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</si>
</sst>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0"/>
    <numFmt numFmtId="165" formatCode="_-* #,##0.00000_-;\-* #,##0.00000_-;_-* &quot;-&quot;??_-;_-@_-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  <xf numFmtId="165" fontId="0" fillId="0" borderId="0" xfId="2" applyNumberFormat="1" applyFont="1"/>
    <xf numFmtId="165" fontId="0" fillId="0" borderId="0" xfId="2" applyNumberFormat="1" applyFont="1" applyFill="1"/>
  </cellXfs>
  <cellStyles count="3">
    <cellStyle name="Millares" xfId="2" builtinId="3"/>
    <cellStyle name="Normal" xfId="0" builtinId="0"/>
    <cellStyle name="Normal_Excel Bloomberg (Bcra)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macro.com.ar\dfsmacro\MacroFondos\Sud-Valores\Cierre\Cierre\Valuaci&#243;n\Valuaci&#243;n%20Activos%20Macro%20Fondos.xlsm" TargetMode="External"/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Renta%20Fija/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MacroFondos/sud-valores/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T+1"/>
      <sheetName val="Cortes Cafci"/>
      <sheetName val="Pagarés Horizonte"/>
    </sheetNames>
    <sheetDataSet>
      <sheetData sheetId="0"/>
      <sheetData sheetId="1"/>
      <sheetData sheetId="2"/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46321</v>
          </cell>
          <cell r="D6">
            <v>46322</v>
          </cell>
          <cell r="E6">
            <v>46323</v>
          </cell>
          <cell r="F6">
            <v>46324</v>
          </cell>
          <cell r="G6"/>
          <cell r="H6"/>
          <cell r="I6"/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Px Hoy</v>
          </cell>
          <cell r="E7" t="str">
            <v>Px Hoy</v>
          </cell>
          <cell r="F7" t="str">
            <v>Px Hoy</v>
          </cell>
          <cell r="G7"/>
          <cell r="H7"/>
          <cell r="I7"/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1.0373153500000001</v>
          </cell>
          <cell r="D11">
            <v>1.0365055000000001</v>
          </cell>
          <cell r="E11">
            <v>1.0316309800000001</v>
          </cell>
          <cell r="F11">
            <v>1.03102158</v>
          </cell>
          <cell r="G11"/>
          <cell r="H11"/>
          <cell r="I11"/>
          <cell r="J11"/>
          <cell r="K11"/>
        </row>
        <row r="12">
          <cell r="B12" t="str">
            <v>AL30D</v>
          </cell>
          <cell r="C12">
            <v>0.54189085999999997</v>
          </cell>
          <cell r="D12">
            <v>0.54447051000000002</v>
          </cell>
          <cell r="E12">
            <v>0.54155763999999995</v>
          </cell>
          <cell r="F12">
            <v>0.54297013000000005</v>
          </cell>
          <cell r="G12"/>
          <cell r="H12"/>
          <cell r="I12"/>
          <cell r="J12"/>
          <cell r="K12"/>
        </row>
        <row r="13">
          <cell r="B13" t="str">
            <v>GD30D</v>
          </cell>
          <cell r="C13">
            <v>0.55857822000000001</v>
          </cell>
          <cell r="D13">
            <v>0.56087664999999998</v>
          </cell>
          <cell r="E13">
            <v>0.55418034000000005</v>
          </cell>
          <cell r="F13">
            <v>0.55905026999999996</v>
          </cell>
          <cell r="G13"/>
          <cell r="H13"/>
          <cell r="I13"/>
          <cell r="J13"/>
          <cell r="K13"/>
        </row>
        <row r="14">
          <cell r="B14" t="str">
            <v>AO28D</v>
          </cell>
          <cell r="C14">
            <v>0.90524084999999999</v>
          </cell>
          <cell r="D14">
            <v>0.91411620999999998</v>
          </cell>
          <cell r="E14">
            <v>0.90118206000000001</v>
          </cell>
          <cell r="F14">
            <v>0.89868429000000005</v>
          </cell>
          <cell r="G14"/>
          <cell r="H14"/>
          <cell r="I14"/>
          <cell r="J14"/>
          <cell r="K14"/>
        </row>
        <row r="15">
          <cell r="B15" t="str">
            <v>AO29D</v>
          </cell>
          <cell r="C15">
            <v>0.83991494</v>
          </cell>
          <cell r="D15">
            <v>0.84259978999999996</v>
          </cell>
          <cell r="E15">
            <v>0.83297715999999999</v>
          </cell>
          <cell r="F15">
            <v>0.82949866999999999</v>
          </cell>
          <cell r="G15"/>
          <cell r="H15"/>
          <cell r="I15"/>
          <cell r="J15"/>
          <cell r="K15"/>
        </row>
        <row r="16">
          <cell r="B16" t="str">
            <v>AN29D</v>
          </cell>
          <cell r="C16">
            <v>0.85746931000000004</v>
          </cell>
          <cell r="D16">
            <v>0.86085449000000003</v>
          </cell>
          <cell r="E16">
            <v>0.85000447000000001</v>
          </cell>
          <cell r="F16">
            <v>0.85266454000000003</v>
          </cell>
          <cell r="G16"/>
          <cell r="H16"/>
          <cell r="I16"/>
          <cell r="J16"/>
          <cell r="K16"/>
        </row>
        <row r="17">
          <cell r="B17" t="str">
            <v>AE38D</v>
          </cell>
          <cell r="C17">
            <v>0.71225879999999997</v>
          </cell>
          <cell r="D17">
            <v>0.71657112999999995</v>
          </cell>
          <cell r="E17">
            <v>0.70323232000000002</v>
          </cell>
          <cell r="F17">
            <v>0.71118543999999995</v>
          </cell>
          <cell r="G17"/>
          <cell r="H17"/>
          <cell r="I17"/>
          <cell r="J17"/>
          <cell r="K17"/>
        </row>
        <row r="18">
          <cell r="B18" t="str">
            <v>GD38D</v>
          </cell>
          <cell r="C18">
            <v>0.77002042000000004</v>
          </cell>
          <cell r="D18">
            <v>0.77237683000000001</v>
          </cell>
          <cell r="E18">
            <v>0.76189545000000003</v>
          </cell>
          <cell r="F18">
            <v>0.77091399000000005</v>
          </cell>
          <cell r="G18"/>
          <cell r="H18"/>
          <cell r="I18"/>
          <cell r="J18"/>
          <cell r="K18"/>
        </row>
        <row r="19">
          <cell r="B19" t="str">
            <v>AL35D</v>
          </cell>
          <cell r="C19">
            <v>0.68714332</v>
          </cell>
          <cell r="D19">
            <v>0.68531297999999996</v>
          </cell>
          <cell r="E19">
            <v>0.67543538000000003</v>
          </cell>
          <cell r="F19">
            <v>0.68261322999999996</v>
          </cell>
          <cell r="G19"/>
          <cell r="H19"/>
          <cell r="I19"/>
          <cell r="J19"/>
          <cell r="K19"/>
        </row>
        <row r="20">
          <cell r="B20" t="str">
            <v>GD35D</v>
          </cell>
          <cell r="C20">
            <v>0.72164233</v>
          </cell>
          <cell r="D20">
            <v>0.72855687000000002</v>
          </cell>
          <cell r="E20">
            <v>0.71711866999999996</v>
          </cell>
          <cell r="F20">
            <v>0.72694245999999996</v>
          </cell>
          <cell r="G20"/>
          <cell r="H20"/>
          <cell r="I20"/>
          <cell r="J20"/>
          <cell r="K20"/>
        </row>
        <row r="21">
          <cell r="B21" t="str">
            <v>AL41D</v>
          </cell>
          <cell r="C21">
            <v>0.63142195000000001</v>
          </cell>
          <cell r="D21">
            <v>0.6336273</v>
          </cell>
          <cell r="E21">
            <v>0.62407966999999998</v>
          </cell>
          <cell r="F21">
            <v>0.63569494000000004</v>
          </cell>
          <cell r="G21"/>
          <cell r="H21"/>
          <cell r="I21"/>
          <cell r="J21"/>
          <cell r="K21"/>
        </row>
        <row r="22">
          <cell r="B22" t="str">
            <v>GD41D</v>
          </cell>
          <cell r="C22">
            <v>0.67340907999999999</v>
          </cell>
          <cell r="D22">
            <v>0.67598002999999995</v>
          </cell>
          <cell r="E22">
            <v>0.67268218000000002</v>
          </cell>
          <cell r="F22">
            <v>0.6818668</v>
          </cell>
          <cell r="G22"/>
          <cell r="H22"/>
          <cell r="I22"/>
          <cell r="J22"/>
          <cell r="K22"/>
        </row>
        <row r="23">
          <cell r="B23" t="str">
            <v>GD46D</v>
          </cell>
          <cell r="C23">
            <v>0.60700343000000001</v>
          </cell>
          <cell r="D23">
            <v>0.61629800000000001</v>
          </cell>
          <cell r="E23">
            <v>0.60558376999999997</v>
          </cell>
          <cell r="F23">
            <v>0.62174582</v>
          </cell>
          <cell r="G23"/>
          <cell r="H23"/>
          <cell r="I23"/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1633.0292095899999</v>
          </cell>
          <cell r="D27">
            <v>1614.7683419099999</v>
          </cell>
          <cell r="E27">
            <v>1617.5194493900001</v>
          </cell>
          <cell r="F27">
            <v>1617.0328246199999</v>
          </cell>
          <cell r="G27"/>
          <cell r="H27"/>
          <cell r="I27"/>
          <cell r="J27"/>
          <cell r="K27"/>
        </row>
        <row r="28">
          <cell r="B28" t="str">
            <v>AL30</v>
          </cell>
          <cell r="C28">
            <v>855.13979468000002</v>
          </cell>
          <cell r="D28">
            <v>851.17238651000002</v>
          </cell>
          <cell r="E28">
            <v>848.63987157999998</v>
          </cell>
          <cell r="F28">
            <v>847.46955427</v>
          </cell>
          <cell r="G28"/>
          <cell r="H28"/>
          <cell r="I28"/>
          <cell r="J28"/>
          <cell r="K28"/>
        </row>
        <row r="29">
          <cell r="B29" t="str">
            <v>GD30</v>
          </cell>
          <cell r="C29">
            <v>878.92035335000003</v>
          </cell>
          <cell r="D29">
            <v>874.33189716000004</v>
          </cell>
          <cell r="E29">
            <v>872.78231338000001</v>
          </cell>
          <cell r="F29">
            <v>877.35520280000003</v>
          </cell>
          <cell r="G29"/>
          <cell r="H29"/>
          <cell r="I29"/>
          <cell r="J29"/>
          <cell r="K29"/>
        </row>
        <row r="30">
          <cell r="B30" t="str">
            <v>AO28</v>
          </cell>
          <cell r="C30">
            <v>1430.18930013</v>
          </cell>
          <cell r="D30">
            <v>1422.0799801000001</v>
          </cell>
          <cell r="E30">
            <v>1410.2218200100001</v>
          </cell>
          <cell r="F30">
            <v>1406.5952099000001</v>
          </cell>
          <cell r="G30"/>
          <cell r="H30"/>
          <cell r="I30"/>
          <cell r="J30"/>
          <cell r="K30"/>
        </row>
        <row r="31">
          <cell r="B31" t="str">
            <v>AO29</v>
          </cell>
          <cell r="C31">
            <v>1324.6481195199999</v>
          </cell>
          <cell r="D31">
            <v>1313.6318719200001</v>
          </cell>
          <cell r="E31">
            <v>1309.6726381000001</v>
          </cell>
          <cell r="F31">
            <v>1296.0341383499999</v>
          </cell>
          <cell r="G31"/>
          <cell r="H31"/>
          <cell r="I31"/>
          <cell r="J31"/>
          <cell r="K31"/>
        </row>
        <row r="32">
          <cell r="B32" t="str">
            <v>AN29</v>
          </cell>
          <cell r="C32">
            <v>1351.8368702400001</v>
          </cell>
          <cell r="D32">
            <v>1345.6045501799999</v>
          </cell>
          <cell r="E32">
            <v>1337.69986191</v>
          </cell>
          <cell r="F32">
            <v>1336.9391939699999</v>
          </cell>
          <cell r="G32"/>
          <cell r="H32"/>
          <cell r="I32"/>
          <cell r="J32"/>
          <cell r="K32"/>
        </row>
        <row r="33">
          <cell r="B33" t="str">
            <v>AE38</v>
          </cell>
          <cell r="C33">
            <v>1121.78971043</v>
          </cell>
          <cell r="D33">
            <v>1119.14705396</v>
          </cell>
          <cell r="E33">
            <v>1105.5654843299999</v>
          </cell>
          <cell r="F33">
            <v>1112.14581559</v>
          </cell>
          <cell r="G33"/>
          <cell r="H33"/>
          <cell r="I33"/>
          <cell r="J33"/>
          <cell r="K33"/>
        </row>
        <row r="34">
          <cell r="B34" t="str">
            <v>GD38</v>
          </cell>
          <cell r="C34">
            <v>1211.6172111999999</v>
          </cell>
          <cell r="D34">
            <v>1204.42585575</v>
          </cell>
          <cell r="E34">
            <v>1192.8956665999999</v>
          </cell>
          <cell r="F34">
            <v>1206.18734318</v>
          </cell>
          <cell r="G34"/>
          <cell r="H34"/>
          <cell r="I34"/>
          <cell r="J34"/>
          <cell r="K34"/>
        </row>
        <row r="35">
          <cell r="B35" t="str">
            <v>AL35</v>
          </cell>
          <cell r="C35">
            <v>1077.2246258600001</v>
          </cell>
          <cell r="D35">
            <v>1076.4646812399999</v>
          </cell>
          <cell r="E35">
            <v>1062.4733356700001</v>
          </cell>
          <cell r="F35">
            <v>1070.04062411</v>
          </cell>
          <cell r="G35"/>
          <cell r="H35"/>
          <cell r="I35"/>
          <cell r="J35"/>
          <cell r="K35"/>
        </row>
        <row r="36">
          <cell r="B36" t="str">
            <v>GD35</v>
          </cell>
          <cell r="C36">
            <v>1135.6277597400001</v>
          </cell>
          <cell r="D36">
            <v>1132.1096421100001</v>
          </cell>
          <cell r="E36">
            <v>1126.0217537200001</v>
          </cell>
          <cell r="F36">
            <v>1137.77364459</v>
          </cell>
          <cell r="G36"/>
          <cell r="H36"/>
          <cell r="I36"/>
          <cell r="J36"/>
          <cell r="K36"/>
        </row>
        <row r="37">
          <cell r="B37" t="str">
            <v>AL41</v>
          </cell>
          <cell r="C37">
            <v>993.09721404000004</v>
          </cell>
          <cell r="D37">
            <v>987.45627450999996</v>
          </cell>
          <cell r="E37">
            <v>982.14373339999997</v>
          </cell>
          <cell r="F37">
            <v>993.90702223000005</v>
          </cell>
          <cell r="G37"/>
          <cell r="H37"/>
          <cell r="I37"/>
          <cell r="J37"/>
          <cell r="K37"/>
        </row>
        <row r="38">
          <cell r="B38" t="str">
            <v>GD41</v>
          </cell>
          <cell r="C38">
            <v>1056.4612884200001</v>
          </cell>
          <cell r="D38">
            <v>1061.9262206200001</v>
          </cell>
          <cell r="E38">
            <v>1063.4806701</v>
          </cell>
          <cell r="F38">
            <v>1067.67258176</v>
          </cell>
          <cell r="G38"/>
          <cell r="H38"/>
          <cell r="I38"/>
          <cell r="J38"/>
          <cell r="K38"/>
        </row>
        <row r="39">
          <cell r="B39" t="str">
            <v>GD46</v>
          </cell>
          <cell r="C39">
            <v>955.98048424000001</v>
          </cell>
          <cell r="D39">
            <v>981.83168893000004</v>
          </cell>
          <cell r="E39">
            <v>968.87561272999994</v>
          </cell>
          <cell r="F39">
            <v>974.43086893999998</v>
          </cell>
          <cell r="G39"/>
          <cell r="H39"/>
          <cell r="I39"/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1.0554528400000001</v>
          </cell>
          <cell r="D43">
            <v>1.0541490099999999</v>
          </cell>
          <cell r="E43">
            <v>1.0466072</v>
          </cell>
          <cell r="F43">
            <v>1.04748435</v>
          </cell>
          <cell r="G43"/>
          <cell r="H43"/>
          <cell r="I43"/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1656.18316817</v>
          </cell>
          <cell r="D47">
            <v>1639.5732917400001</v>
          </cell>
          <cell r="E47">
            <v>1640.1748637000001</v>
          </cell>
          <cell r="F47">
            <v>1641.81859478</v>
          </cell>
          <cell r="G47"/>
          <cell r="H47"/>
          <cell r="I47"/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S13N6</v>
          </cell>
          <cell r="C51">
            <v>1.0852042200000001</v>
          </cell>
          <cell r="D51">
            <v>1.0857107800000001</v>
          </cell>
          <cell r="E51">
            <v>1.0862777699999999</v>
          </cell>
          <cell r="F51">
            <v>1.0870290499999999</v>
          </cell>
          <cell r="G51"/>
          <cell r="H51"/>
          <cell r="I51"/>
          <cell r="J51"/>
          <cell r="K51"/>
        </row>
        <row r="52">
          <cell r="B52" t="str">
            <v>S30N6</v>
          </cell>
          <cell r="C52">
            <v>1.2710396799999999</v>
          </cell>
          <cell r="D52">
            <v>1.27182635</v>
          </cell>
          <cell r="E52">
            <v>1.27241106</v>
          </cell>
          <cell r="F52">
            <v>1.2745239500000001</v>
          </cell>
          <cell r="G52"/>
          <cell r="H52"/>
          <cell r="I52"/>
          <cell r="J52"/>
          <cell r="K52"/>
        </row>
        <row r="53">
          <cell r="B53" t="str">
            <v>S29E7</v>
          </cell>
          <cell r="C53">
            <v>1.04895103</v>
          </cell>
          <cell r="D53">
            <v>1.0485382999999999</v>
          </cell>
          <cell r="E53">
            <v>1.0495640399999999</v>
          </cell>
          <cell r="F53">
            <v>1.05197753</v>
          </cell>
          <cell r="G53"/>
          <cell r="H53"/>
          <cell r="I53"/>
          <cell r="J53"/>
          <cell r="K53"/>
        </row>
        <row r="54">
          <cell r="B54"/>
          <cell r="C54"/>
          <cell r="D54"/>
          <cell r="E54"/>
          <cell r="F54"/>
          <cell r="G54"/>
          <cell r="H54"/>
          <cell r="I54"/>
          <cell r="J54"/>
          <cell r="K54"/>
        </row>
        <row r="55">
          <cell r="B55" t="str">
            <v>Bonos Soberanos Tasa Fija</v>
          </cell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/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 t="str">
            <v>T15E7</v>
          </cell>
          <cell r="C57">
            <v>1.52738358</v>
          </cell>
          <cell r="D57">
            <v>1.52746505</v>
          </cell>
          <cell r="E57">
            <v>1.52888413</v>
          </cell>
          <cell r="F57">
            <v>1.5315555199999999</v>
          </cell>
          <cell r="G57"/>
          <cell r="H57"/>
          <cell r="I57"/>
          <cell r="J57"/>
          <cell r="K57"/>
        </row>
        <row r="58">
          <cell r="B58" t="str">
            <v>T30A7</v>
          </cell>
          <cell r="C58">
            <v>1.3811323</v>
          </cell>
          <cell r="D58">
            <v>1.3819150099999999</v>
          </cell>
          <cell r="E58">
            <v>1.38186988</v>
          </cell>
          <cell r="F58">
            <v>1.3858884499999999</v>
          </cell>
          <cell r="G58"/>
          <cell r="H58"/>
          <cell r="I58"/>
          <cell r="J58"/>
          <cell r="K58"/>
        </row>
        <row r="59">
          <cell r="B59" t="str">
            <v>T31Y7</v>
          </cell>
          <cell r="C59">
            <v>1.30204184</v>
          </cell>
          <cell r="D59">
            <v>1.30150886</v>
          </cell>
          <cell r="E59">
            <v>1.3016547199999999</v>
          </cell>
          <cell r="F59">
            <v>1.30482688</v>
          </cell>
          <cell r="G59"/>
          <cell r="H59"/>
          <cell r="I59"/>
          <cell r="J59"/>
          <cell r="K59"/>
        </row>
        <row r="60">
          <cell r="B60" t="str">
            <v>T30J7</v>
          </cell>
          <cell r="C60">
            <v>1.30851348</v>
          </cell>
          <cell r="D60">
            <v>1.32761482</v>
          </cell>
          <cell r="E60">
            <v>1.3179069299999999</v>
          </cell>
          <cell r="F60">
            <v>1.3114656899999999</v>
          </cell>
          <cell r="G60"/>
          <cell r="H60"/>
          <cell r="I60"/>
          <cell r="J60"/>
          <cell r="K60"/>
        </row>
        <row r="61">
          <cell r="B61" t="str">
            <v>TY30P</v>
          </cell>
          <cell r="C61">
            <v>1.1285736500000001</v>
          </cell>
          <cell r="D61">
            <v>1.1296577000000001</v>
          </cell>
          <cell r="E61">
            <v>1.13106577</v>
          </cell>
          <cell r="F61">
            <v>1.13331852</v>
          </cell>
          <cell r="G61"/>
          <cell r="H61"/>
          <cell r="I61"/>
          <cell r="J61"/>
          <cell r="K61"/>
        </row>
        <row r="62">
          <cell r="B62"/>
          <cell r="C62"/>
          <cell r="D62"/>
          <cell r="E62"/>
          <cell r="F62"/>
          <cell r="G62"/>
          <cell r="H62"/>
          <cell r="I62"/>
          <cell r="J62"/>
          <cell r="K62"/>
        </row>
        <row r="63">
          <cell r="B63" t="str">
            <v>Bonos Soberanos Tasa Fija - Tamar</v>
          </cell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/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 t="str">
            <v>TTD26</v>
          </cell>
          <cell r="C65">
            <v>1.75294127</v>
          </cell>
          <cell r="D65">
            <v>1.75305249</v>
          </cell>
          <cell r="E65">
            <v>1.75434969</v>
          </cell>
          <cell r="F65">
            <v>1.7554654599999999</v>
          </cell>
          <cell r="G65"/>
          <cell r="H65"/>
          <cell r="I65"/>
          <cell r="J65"/>
          <cell r="K65"/>
        </row>
        <row r="66">
          <cell r="B66"/>
          <cell r="C66"/>
          <cell r="D66"/>
          <cell r="E66"/>
          <cell r="F66"/>
          <cell r="G66"/>
          <cell r="H66"/>
          <cell r="I66"/>
          <cell r="J66"/>
          <cell r="K66"/>
        </row>
        <row r="67">
          <cell r="B67" t="str">
            <v>Bonos Soberanos TAMAR</v>
          </cell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 t="str">
            <v>TMF27</v>
          </cell>
          <cell r="C69">
            <v>1.26495333</v>
          </cell>
          <cell r="D69">
            <v>1.26935175</v>
          </cell>
          <cell r="E69">
            <v>1.2669274500000001</v>
          </cell>
          <cell r="F69">
            <v>1.27044438</v>
          </cell>
          <cell r="G69"/>
          <cell r="H69"/>
          <cell r="I69"/>
          <cell r="J69"/>
          <cell r="K69"/>
        </row>
        <row r="70">
          <cell r="B70" t="str">
            <v>TML27</v>
          </cell>
          <cell r="C70">
            <v>1.1221947800000001</v>
          </cell>
          <cell r="D70">
            <v>1.1211783799999999</v>
          </cell>
          <cell r="E70">
            <v>1.12101173</v>
          </cell>
          <cell r="F70">
            <v>1.1256691599999999</v>
          </cell>
          <cell r="G70"/>
          <cell r="H70"/>
          <cell r="I70"/>
          <cell r="J70"/>
          <cell r="K70"/>
        </row>
        <row r="71">
          <cell r="B71" t="str">
            <v>TMG27</v>
          </cell>
          <cell r="C71">
            <v>1.2077702800000001</v>
          </cell>
          <cell r="D71">
            <v>1.2125100600000001</v>
          </cell>
          <cell r="E71">
            <v>1.21800153</v>
          </cell>
          <cell r="F71">
            <v>1.21939427</v>
          </cell>
          <cell r="G71"/>
          <cell r="H71"/>
          <cell r="I71"/>
          <cell r="J71"/>
          <cell r="K71"/>
        </row>
        <row r="72">
          <cell r="B72" t="str">
            <v>TMG28</v>
          </cell>
          <cell r="C72">
            <v>1.1000104399999999</v>
          </cell>
          <cell r="D72">
            <v>1.0991069899999999</v>
          </cell>
          <cell r="E72">
            <v>1.10050005</v>
          </cell>
          <cell r="F72">
            <v>1.1025021699999999</v>
          </cell>
          <cell r="G72"/>
          <cell r="H72"/>
          <cell r="I72"/>
          <cell r="J72"/>
          <cell r="K72"/>
        </row>
        <row r="73">
          <cell r="B73"/>
          <cell r="C73"/>
          <cell r="D73"/>
          <cell r="E73"/>
          <cell r="F73"/>
          <cell r="G73"/>
          <cell r="H73"/>
          <cell r="I73"/>
          <cell r="J73"/>
          <cell r="K73"/>
        </row>
        <row r="74">
          <cell r="B74" t="str">
            <v>Bonos Soberanos CER - TAMAR</v>
          </cell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/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 t="str">
            <v>TXMJ8</v>
          </cell>
          <cell r="C76">
            <v>1.03694299</v>
          </cell>
          <cell r="D76">
            <v>1.0364999100000001</v>
          </cell>
          <cell r="E76">
            <v>1.0374969599999999</v>
          </cell>
          <cell r="F76">
            <v>1.03904369</v>
          </cell>
          <cell r="G76"/>
          <cell r="H76"/>
          <cell r="I76"/>
          <cell r="J76"/>
          <cell r="K76"/>
        </row>
        <row r="77">
          <cell r="B77" t="str">
            <v>TXMD8</v>
          </cell>
          <cell r="C77">
            <v>0.96673701999999995</v>
          </cell>
          <cell r="D77">
            <v>0.96547667999999998</v>
          </cell>
          <cell r="E77">
            <v>0.96600591999999996</v>
          </cell>
          <cell r="F77">
            <v>0.96649300000000005</v>
          </cell>
          <cell r="G77"/>
          <cell r="H77"/>
          <cell r="I77"/>
          <cell r="J77"/>
          <cell r="K77"/>
        </row>
        <row r="78">
          <cell r="B78" t="str">
            <v>TXMJ9</v>
          </cell>
          <cell r="C78">
            <v>0.94989994</v>
          </cell>
          <cell r="D78">
            <v>0.94829218000000004</v>
          </cell>
          <cell r="E78">
            <v>0.94950031000000001</v>
          </cell>
          <cell r="F78">
            <v>0.95096939000000003</v>
          </cell>
          <cell r="G78"/>
          <cell r="H78"/>
          <cell r="I78"/>
          <cell r="J78"/>
          <cell r="K78"/>
        </row>
        <row r="79">
          <cell r="B79" t="str">
            <v>TXMD9</v>
          </cell>
          <cell r="C79">
            <v>0.87801658999999999</v>
          </cell>
          <cell r="D79">
            <v>0.87716576999999996</v>
          </cell>
          <cell r="E79">
            <v>0.87750287999999999</v>
          </cell>
          <cell r="F79">
            <v>0.88030322000000005</v>
          </cell>
          <cell r="G79"/>
          <cell r="H79"/>
          <cell r="I79"/>
          <cell r="J79"/>
          <cell r="K79"/>
        </row>
        <row r="80">
          <cell r="B80" t="str">
            <v>TXMJ0</v>
          </cell>
          <cell r="C80">
            <v>0.85002432000000006</v>
          </cell>
          <cell r="D80">
            <v>0.84956993999999997</v>
          </cell>
          <cell r="E80">
            <v>0.85029933000000002</v>
          </cell>
          <cell r="F80">
            <v>0.84911826999999995</v>
          </cell>
          <cell r="G80"/>
          <cell r="H80"/>
          <cell r="I80"/>
          <cell r="J80"/>
          <cell r="K80"/>
        </row>
        <row r="81">
          <cell r="B81"/>
          <cell r="C81"/>
          <cell r="D81"/>
          <cell r="E81"/>
          <cell r="F81"/>
          <cell r="G81"/>
          <cell r="H81"/>
          <cell r="I81"/>
          <cell r="J81"/>
          <cell r="K81"/>
        </row>
        <row r="82">
          <cell r="B82" t="str">
            <v>Bonos Soberanos CER - TAMAR</v>
          </cell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/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 t="str">
            <v>TZXO6</v>
          </cell>
          <cell r="C84">
            <v>1.7777530500000001</v>
          </cell>
          <cell r="D84">
            <v>1.7785936099999999</v>
          </cell>
          <cell r="E84">
            <v>1.7797234200000001</v>
          </cell>
          <cell r="F84">
            <v>1.7806</v>
          </cell>
          <cell r="G84"/>
          <cell r="H84"/>
          <cell r="I84"/>
          <cell r="J84"/>
          <cell r="K84"/>
        </row>
        <row r="85">
          <cell r="B85" t="str">
            <v>TX26</v>
          </cell>
          <cell r="C85">
            <v>7.6221631800000003</v>
          </cell>
          <cell r="D85">
            <v>7.6262557800000002</v>
          </cell>
          <cell r="E85">
            <v>7.6295093999999999</v>
          </cell>
          <cell r="F85">
            <v>7.6340003999999997</v>
          </cell>
          <cell r="G85"/>
          <cell r="H85"/>
          <cell r="I85"/>
          <cell r="J85"/>
          <cell r="K85"/>
        </row>
        <row r="86">
          <cell r="B86" t="str">
            <v>X30N6</v>
          </cell>
          <cell r="C86">
            <v>1.29113915</v>
          </cell>
          <cell r="D86">
            <v>1.2923122899999999</v>
          </cell>
          <cell r="E86">
            <v>1.2918069299999999</v>
          </cell>
          <cell r="F86">
            <v>1.2923029800000001</v>
          </cell>
          <cell r="G86"/>
          <cell r="H86"/>
          <cell r="I86"/>
          <cell r="J86"/>
          <cell r="K86"/>
        </row>
        <row r="87">
          <cell r="B87" t="str">
            <v>TZXD6</v>
          </cell>
          <cell r="C87">
            <v>3.1346117200000001</v>
          </cell>
          <cell r="D87">
            <v>3.1357191900000001</v>
          </cell>
          <cell r="E87">
            <v>3.1367699999999998</v>
          </cell>
          <cell r="F87">
            <v>3.1433705500000002</v>
          </cell>
          <cell r="G87"/>
          <cell r="H87"/>
          <cell r="I87"/>
          <cell r="J87"/>
          <cell r="K87"/>
        </row>
        <row r="88">
          <cell r="B88" t="str">
            <v>X29E7</v>
          </cell>
          <cell r="C88">
            <v>1.0405007399999999</v>
          </cell>
          <cell r="D88">
            <v>1.04099834</v>
          </cell>
          <cell r="E88">
            <v>1.0413750100000001</v>
          </cell>
          <cell r="F88">
            <v>1.0417772199999999</v>
          </cell>
          <cell r="G88"/>
          <cell r="H88"/>
          <cell r="I88"/>
          <cell r="J88"/>
          <cell r="K88"/>
        </row>
        <row r="89">
          <cell r="B89" t="str">
            <v>TZXM7</v>
          </cell>
          <cell r="C89">
            <v>2.3302291899999998</v>
          </cell>
          <cell r="D89">
            <v>2.3329388299999998</v>
          </cell>
          <cell r="E89">
            <v>2.3375575</v>
          </cell>
          <cell r="F89">
            <v>2.3320821</v>
          </cell>
          <cell r="G89"/>
          <cell r="H89"/>
          <cell r="I89"/>
          <cell r="J89"/>
          <cell r="K89"/>
        </row>
        <row r="90">
          <cell r="B90" t="str">
            <v>TZXA7</v>
          </cell>
          <cell r="C90">
            <v>1.28512341</v>
          </cell>
          <cell r="D90">
            <v>1.2864988100000001</v>
          </cell>
          <cell r="E90">
            <v>1.28851677</v>
          </cell>
          <cell r="F90">
            <v>1.2934913299999999</v>
          </cell>
          <cell r="G90"/>
          <cell r="H90"/>
          <cell r="I90"/>
          <cell r="J90"/>
          <cell r="K90"/>
        </row>
        <row r="91">
          <cell r="B91" t="str">
            <v>TZXY7</v>
          </cell>
          <cell r="C91">
            <v>1.2688915700000001</v>
          </cell>
          <cell r="D91">
            <v>1.2639168700000001</v>
          </cell>
          <cell r="E91">
            <v>1.26848428</v>
          </cell>
          <cell r="F91">
            <v>1.2729492200000001</v>
          </cell>
          <cell r="G91"/>
          <cell r="H91"/>
          <cell r="I91"/>
          <cell r="J91"/>
          <cell r="K91"/>
        </row>
        <row r="92">
          <cell r="B92" t="str">
            <v>TZX27</v>
          </cell>
          <cell r="C92">
            <v>4.14267699</v>
          </cell>
          <cell r="D92">
            <v>4.1390132599999996</v>
          </cell>
          <cell r="E92">
            <v>4.1420291300000001</v>
          </cell>
          <cell r="F92">
            <v>4.1595105200000004</v>
          </cell>
          <cell r="G92"/>
          <cell r="H92"/>
          <cell r="I92"/>
          <cell r="J92"/>
          <cell r="K92"/>
        </row>
        <row r="93">
          <cell r="B93" t="str">
            <v>TZXS7</v>
          </cell>
          <cell r="C93">
            <v>1.12695258</v>
          </cell>
          <cell r="D93">
            <v>1.1239069399999999</v>
          </cell>
          <cell r="E93">
            <v>1.1248853000000001</v>
          </cell>
          <cell r="F93">
            <v>1.1271407</v>
          </cell>
          <cell r="G93"/>
          <cell r="H93"/>
          <cell r="I93"/>
          <cell r="J93"/>
          <cell r="K93"/>
        </row>
        <row r="94">
          <cell r="B94" t="str">
            <v>TZXO7</v>
          </cell>
          <cell r="C94">
            <v>1.01934681</v>
          </cell>
          <cell r="D94">
            <v>1.01401893</v>
          </cell>
          <cell r="E94">
            <v>1.0063875200000001</v>
          </cell>
          <cell r="F94">
            <v>1.0201357600000001</v>
          </cell>
          <cell r="G94"/>
          <cell r="H94"/>
          <cell r="I94"/>
          <cell r="J94"/>
          <cell r="K94"/>
        </row>
        <row r="95">
          <cell r="B95" t="str">
            <v>TZXD7</v>
          </cell>
          <cell r="C95">
            <v>2.91224112</v>
          </cell>
          <cell r="D95">
            <v>2.9041402000000001</v>
          </cell>
          <cell r="E95">
            <v>2.9034247400000002</v>
          </cell>
          <cell r="F95">
            <v>2.9011477700000001</v>
          </cell>
          <cell r="G95"/>
          <cell r="H95"/>
          <cell r="I95"/>
          <cell r="J95"/>
          <cell r="K95"/>
        </row>
        <row r="96">
          <cell r="B96" t="str">
            <v>TZXM8</v>
          </cell>
          <cell r="C96">
            <v>1.04337882</v>
          </cell>
          <cell r="D96">
            <v>1.0442</v>
          </cell>
          <cell r="E96">
            <v>1.0469999800000001</v>
          </cell>
          <cell r="F96">
            <v>1.0485002400000001</v>
          </cell>
          <cell r="G96"/>
          <cell r="H96"/>
          <cell r="I96"/>
          <cell r="J96"/>
          <cell r="K96"/>
        </row>
        <row r="97">
          <cell r="B97" t="str">
            <v>TZX28</v>
          </cell>
          <cell r="C97">
            <v>3.6350963200000002</v>
          </cell>
          <cell r="D97">
            <v>3.6324624999999999</v>
          </cell>
          <cell r="E97">
            <v>3.6380211199999999</v>
          </cell>
          <cell r="F97">
            <v>3.6450382600000002</v>
          </cell>
          <cell r="G97"/>
          <cell r="H97"/>
          <cell r="I97"/>
          <cell r="J97"/>
          <cell r="K97"/>
        </row>
        <row r="98">
          <cell r="B98" t="str">
            <v>TZXS8</v>
          </cell>
          <cell r="C98">
            <v>0.97929787000000001</v>
          </cell>
          <cell r="D98">
            <v>0.97918727000000005</v>
          </cell>
          <cell r="E98">
            <v>0.98100030000000005</v>
          </cell>
          <cell r="F98">
            <v>0.98272364000000001</v>
          </cell>
          <cell r="G98"/>
          <cell r="H98"/>
          <cell r="I98"/>
          <cell r="J98"/>
          <cell r="K98"/>
        </row>
        <row r="99">
          <cell r="B99" t="str">
            <v>TZXD8</v>
          </cell>
          <cell r="C99">
            <v>0.87876149999999997</v>
          </cell>
          <cell r="D99">
            <v>0.87932871999999995</v>
          </cell>
          <cell r="E99">
            <v>0.87400120999999997</v>
          </cell>
          <cell r="F99">
            <v>0.87730386999999999</v>
          </cell>
          <cell r="G99"/>
          <cell r="H99"/>
          <cell r="I99"/>
          <cell r="J99"/>
          <cell r="K99"/>
        </row>
        <row r="100">
          <cell r="B100" t="str">
            <v>TZXM9</v>
          </cell>
          <cell r="C100">
            <v>0.93089710000000003</v>
          </cell>
          <cell r="D100">
            <v>0.92884710000000004</v>
          </cell>
          <cell r="E100">
            <v>0.92782750999999997</v>
          </cell>
          <cell r="F100">
            <v>0.92485930000000005</v>
          </cell>
          <cell r="G100"/>
          <cell r="H100"/>
          <cell r="I100"/>
          <cell r="J100"/>
          <cell r="K100"/>
        </row>
        <row r="101">
          <cell r="B101" t="str">
            <v>DICP</v>
          </cell>
          <cell r="C101">
            <v>493.18559642999998</v>
          </cell>
          <cell r="D101">
            <v>491.95475653</v>
          </cell>
          <cell r="E101">
            <v>491.37231330999998</v>
          </cell>
          <cell r="F101">
            <v>490.31639502000002</v>
          </cell>
          <cell r="G101"/>
          <cell r="H101"/>
          <cell r="I101"/>
          <cell r="J101"/>
          <cell r="K101"/>
        </row>
        <row r="102">
          <cell r="B102"/>
          <cell r="C102"/>
          <cell r="D102"/>
          <cell r="E102"/>
          <cell r="F102"/>
          <cell r="G102"/>
          <cell r="H102"/>
          <cell r="I102"/>
          <cell r="J102"/>
          <cell r="K102"/>
        </row>
        <row r="103">
          <cell r="B103" t="str">
            <v>Bonos Soberanos Dólar Linked</v>
          </cell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 t="str">
            <v>D30O6</v>
          </cell>
          <cell r="C105">
            <v>1537.9035916400001</v>
          </cell>
          <cell r="D105">
            <v>1536.20124188</v>
          </cell>
          <cell r="E105">
            <v>1536.5143014099999</v>
          </cell>
          <cell r="F105">
            <v>1539.5930000000001</v>
          </cell>
          <cell r="G105"/>
          <cell r="H105"/>
          <cell r="I105"/>
          <cell r="J105"/>
          <cell r="K105"/>
        </row>
        <row r="106">
          <cell r="B106" t="str">
            <v>D30N6</v>
          </cell>
          <cell r="C106">
            <v>1533.42151889</v>
          </cell>
          <cell r="D106">
            <v>1531.37513562</v>
          </cell>
          <cell r="E106">
            <v>1529.3363454800001</v>
          </cell>
          <cell r="F106">
            <v>1533.69205964</v>
          </cell>
          <cell r="G106"/>
          <cell r="H106"/>
          <cell r="I106"/>
          <cell r="J106"/>
          <cell r="K106"/>
        </row>
        <row r="107">
          <cell r="B107" t="str">
            <v>D15E7</v>
          </cell>
          <cell r="C107">
            <v>1531.9980732900001</v>
          </cell>
          <cell r="D107">
            <v>1537.92161566</v>
          </cell>
          <cell r="E107">
            <v>1534</v>
          </cell>
          <cell r="F107">
            <v>1526.9610130999999</v>
          </cell>
          <cell r="G107"/>
          <cell r="H107"/>
          <cell r="I107"/>
          <cell r="J107"/>
          <cell r="K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</row>
        <row r="109">
          <cell r="B109" t="str">
            <v>Bonos Soberanos Dólar Linked - TAMAR</v>
          </cell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 t="str">
            <v>TMVE8</v>
          </cell>
          <cell r="C111">
            <v>1455.1724502300001</v>
          </cell>
          <cell r="D111">
            <v>1457.59771</v>
          </cell>
          <cell r="E111">
            <v>1461.90051556</v>
          </cell>
          <cell r="F111">
            <v>1463.94988558</v>
          </cell>
          <cell r="G111"/>
          <cell r="H111"/>
          <cell r="I111"/>
          <cell r="J111"/>
          <cell r="K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</row>
        <row r="113">
          <cell r="B113" t="str">
            <v>Títulos Provinciales CER</v>
          </cell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 t="str">
            <v>COY27</v>
          </cell>
          <cell r="C115">
            <v>2.3789364599999998</v>
          </cell>
          <cell r="D115">
            <v>2.3796553899999999</v>
          </cell>
          <cell r="E115">
            <v>2.3803140599999999</v>
          </cell>
          <cell r="F115">
            <v>2.39667275</v>
          </cell>
          <cell r="G115"/>
          <cell r="H115"/>
          <cell r="I115"/>
          <cell r="J115"/>
          <cell r="K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</row>
        <row r="117">
          <cell r="B117" t="str">
            <v>Títulos Provinciales Tamar</v>
          </cell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 t="str">
            <v>CO2D7</v>
          </cell>
          <cell r="C119">
            <v>1.02673313</v>
          </cell>
          <cell r="D119">
            <v>1.0287841799999999</v>
          </cell>
          <cell r="E119">
            <v>1.0299672</v>
          </cell>
          <cell r="F119">
            <v>1.02647008</v>
          </cell>
          <cell r="G119"/>
          <cell r="H119"/>
          <cell r="I119"/>
          <cell r="J119"/>
          <cell r="K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</row>
        <row r="121">
          <cell r="B121" t="str">
            <v>Títulos Provinciales Hard USD</v>
          </cell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 t="str">
            <v>SJO5D</v>
          </cell>
          <cell r="C123">
            <v>1.0375000000000001</v>
          </cell>
          <cell r="D123">
            <v>1.03</v>
          </cell>
          <cell r="E123">
            <v>1.0200526000000001</v>
          </cell>
          <cell r="F123">
            <v>1.016</v>
          </cell>
          <cell r="G123"/>
          <cell r="H123"/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 t="str">
            <v>Títulos Provinciales Hard USD - Contra $</v>
          </cell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 t="str">
            <v>SJO35</v>
          </cell>
          <cell r="C127">
            <v>1652.7835508400001</v>
          </cell>
          <cell r="D127">
            <v>1611.5791833400001</v>
          </cell>
          <cell r="E127">
            <v>1601.8648432299999</v>
          </cell>
          <cell r="F127">
            <v>1591.03908043</v>
          </cell>
          <cell r="G127"/>
          <cell r="H127"/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 t="str">
            <v>Obligaciones Negociables Badlar</v>
          </cell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 t="str">
            <v>CH9BO</v>
          </cell>
          <cell r="C131">
            <v>1.0000000000000001E-9</v>
          </cell>
          <cell r="D131">
            <v>1.0000000000000001E-9</v>
          </cell>
          <cell r="E131">
            <v>1.0000000000000001E-9</v>
          </cell>
          <cell r="F131">
            <v>1.0000000000000001E-9</v>
          </cell>
          <cell r="G131"/>
          <cell r="H131"/>
          <cell r="I131"/>
          <cell r="J131"/>
          <cell r="K131"/>
        </row>
        <row r="132">
          <cell r="B132" t="str">
            <v>DRSEO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/>
          <cell r="H132"/>
          <cell r="I132"/>
          <cell r="J132"/>
          <cell r="K132"/>
        </row>
        <row r="133">
          <cell r="B133" t="str">
            <v>DRDCO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/>
          <cell r="H133"/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 t="str">
            <v>Obligaciones Negociables Tamar</v>
          </cell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 t="str">
            <v>IP11P</v>
          </cell>
          <cell r="C137">
            <v>0.72734427999999995</v>
          </cell>
          <cell r="D137">
            <v>0.34939187999999999</v>
          </cell>
          <cell r="E137">
            <v>0.34917686999999997</v>
          </cell>
          <cell r="F137">
            <v>0.34994101</v>
          </cell>
          <cell r="G137"/>
          <cell r="H137"/>
          <cell r="I137"/>
          <cell r="J137"/>
          <cell r="K137"/>
        </row>
        <row r="138">
          <cell r="B138" t="str">
            <v>LMS1P</v>
          </cell>
          <cell r="C138">
            <v>0.52808288999999997</v>
          </cell>
          <cell r="D138">
            <v>0.52834095000000003</v>
          </cell>
          <cell r="E138">
            <v>0.52821971999999995</v>
          </cell>
          <cell r="F138">
            <v>0.52914030000000001</v>
          </cell>
          <cell r="G138"/>
          <cell r="H138"/>
          <cell r="I138"/>
          <cell r="J138"/>
          <cell r="K138"/>
        </row>
        <row r="139">
          <cell r="B139" t="str">
            <v>PES1L</v>
          </cell>
          <cell r="C139">
            <v>0.76163247999999995</v>
          </cell>
          <cell r="D139">
            <v>0.76195605</v>
          </cell>
          <cell r="E139">
            <v>0.76153658000000002</v>
          </cell>
          <cell r="F139">
            <v>0.76335010999999997</v>
          </cell>
          <cell r="G139"/>
          <cell r="H139"/>
          <cell r="I139"/>
          <cell r="J139"/>
          <cell r="K139"/>
        </row>
        <row r="140">
          <cell r="B140" t="str">
            <v>FSS1L</v>
          </cell>
          <cell r="C140">
            <v>0.79914023999999995</v>
          </cell>
          <cell r="D140">
            <v>0.79947509999999999</v>
          </cell>
          <cell r="E140">
            <v>0.79905917999999998</v>
          </cell>
          <cell r="F140">
            <v>0.80104249000000005</v>
          </cell>
          <cell r="G140"/>
          <cell r="H140"/>
          <cell r="I140"/>
          <cell r="J140"/>
          <cell r="K140"/>
        </row>
        <row r="141">
          <cell r="B141" t="str">
            <v>DJS1L</v>
          </cell>
          <cell r="C141">
            <v>0.77606728000000003</v>
          </cell>
          <cell r="D141">
            <v>0.77632835</v>
          </cell>
          <cell r="E141">
            <v>0.77576641000000002</v>
          </cell>
          <cell r="F141">
            <v>0.77843430000000002</v>
          </cell>
          <cell r="G141"/>
          <cell r="H141"/>
          <cell r="I141"/>
          <cell r="J141"/>
          <cell r="K141"/>
        </row>
        <row r="142">
          <cell r="B142" t="str">
            <v>CZ11L</v>
          </cell>
          <cell r="C142">
            <v>1.0592062499999999</v>
          </cell>
          <cell r="D142">
            <v>1.0595789799999999</v>
          </cell>
          <cell r="E142">
            <v>1.05884223</v>
          </cell>
          <cell r="F142">
            <v>1.0623022900000001</v>
          </cell>
          <cell r="G142"/>
          <cell r="H142"/>
          <cell r="I142"/>
          <cell r="J142"/>
          <cell r="K142"/>
        </row>
        <row r="143">
          <cell r="B143" t="str">
            <v>AKS1L</v>
          </cell>
          <cell r="C143">
            <v>1.0361206999999999</v>
          </cell>
          <cell r="D143">
            <v>1.0363934699999999</v>
          </cell>
          <cell r="E143">
            <v>1.0353269199999999</v>
          </cell>
          <cell r="F143">
            <v>1.03965698</v>
          </cell>
          <cell r="G143"/>
          <cell r="H143"/>
          <cell r="I143"/>
          <cell r="J143"/>
          <cell r="K143"/>
        </row>
        <row r="144">
          <cell r="B144" t="str">
            <v>SQS1L</v>
          </cell>
          <cell r="C144">
            <v>1.04416069</v>
          </cell>
          <cell r="D144">
            <v>1.04439043</v>
          </cell>
          <cell r="E144">
            <v>1.0439745</v>
          </cell>
          <cell r="F144">
            <v>1.0493104900000001</v>
          </cell>
          <cell r="G144"/>
          <cell r="H144"/>
          <cell r="I144"/>
          <cell r="J144"/>
          <cell r="K144"/>
        </row>
        <row r="145">
          <cell r="B145" t="str">
            <v>CHS1L</v>
          </cell>
          <cell r="C145">
            <v>0.98453305999999996</v>
          </cell>
          <cell r="D145">
            <v>0.98466728000000003</v>
          </cell>
          <cell r="E145">
            <v>0.98442887999999995</v>
          </cell>
          <cell r="F145">
            <v>0.99078118000000004</v>
          </cell>
          <cell r="G145"/>
          <cell r="H145"/>
          <cell r="I145"/>
          <cell r="J145"/>
          <cell r="K145"/>
        </row>
        <row r="146">
          <cell r="B146" t="str">
            <v>GES2L</v>
          </cell>
          <cell r="C146">
            <v>1.0169449500000001</v>
          </cell>
          <cell r="D146">
            <v>1.0170590900000001</v>
          </cell>
          <cell r="E146">
            <v>1.0173399299999999</v>
          </cell>
          <cell r="F146">
            <v>1.0247239800000001</v>
          </cell>
          <cell r="G146"/>
          <cell r="H146"/>
          <cell r="I146"/>
          <cell r="J146"/>
          <cell r="K146"/>
        </row>
        <row r="147">
          <cell r="B147" t="str">
            <v>AKS2L</v>
          </cell>
          <cell r="C147">
            <v>1.02488143</v>
          </cell>
          <cell r="D147">
            <v>1.02499826</v>
          </cell>
          <cell r="E147">
            <v>1.0254475999999999</v>
          </cell>
          <cell r="F147">
            <v>1.0331048</v>
          </cell>
          <cell r="G147"/>
          <cell r="H147"/>
          <cell r="I147"/>
          <cell r="J147"/>
          <cell r="K147"/>
        </row>
        <row r="148">
          <cell r="B148" t="str">
            <v>MQS1L</v>
          </cell>
          <cell r="C148"/>
          <cell r="D148"/>
          <cell r="E148"/>
          <cell r="F148">
            <v>0.99931707999999997</v>
          </cell>
          <cell r="G148"/>
          <cell r="H148"/>
          <cell r="I148"/>
          <cell r="J148"/>
          <cell r="K148"/>
        </row>
        <row r="149">
          <cell r="B149" t="str">
            <v>SXC5O</v>
          </cell>
          <cell r="C149">
            <v>1.05068574</v>
          </cell>
          <cell r="D149">
            <v>1.0514477799999999</v>
          </cell>
          <cell r="E149">
            <v>1.05217418</v>
          </cell>
          <cell r="F149">
            <v>1.0529264700000001</v>
          </cell>
          <cell r="G149"/>
          <cell r="H149"/>
          <cell r="I149"/>
          <cell r="J149"/>
          <cell r="K149"/>
        </row>
        <row r="150">
          <cell r="B150" t="str">
            <v>BF38O</v>
          </cell>
          <cell r="C150">
            <v>1.0517425600000001</v>
          </cell>
          <cell r="D150">
            <v>1.0525048800000001</v>
          </cell>
          <cell r="E150">
            <v>1.0532307400000001</v>
          </cell>
          <cell r="F150">
            <v>1.05398367</v>
          </cell>
          <cell r="G150"/>
          <cell r="H150"/>
          <cell r="I150"/>
          <cell r="J150"/>
          <cell r="K150"/>
        </row>
        <row r="151">
          <cell r="B151" t="str">
            <v>RC3CO</v>
          </cell>
          <cell r="C151">
            <v>1.0315040799999999</v>
          </cell>
          <cell r="D151">
            <v>1.03226518</v>
          </cell>
          <cell r="E151">
            <v>1.0329368999999999</v>
          </cell>
          <cell r="F151">
            <v>1.03364089</v>
          </cell>
          <cell r="G151"/>
          <cell r="H151"/>
          <cell r="I151"/>
          <cell r="J151"/>
          <cell r="K151"/>
        </row>
        <row r="152">
          <cell r="B152" t="str">
            <v>SXC3O</v>
          </cell>
          <cell r="C152">
            <v>1.0505879300000001</v>
          </cell>
          <cell r="D152">
            <v>1.05137809</v>
          </cell>
          <cell r="E152">
            <v>1.05188383</v>
          </cell>
          <cell r="F152">
            <v>1.0523951600000001</v>
          </cell>
          <cell r="G152"/>
          <cell r="H152"/>
          <cell r="I152"/>
          <cell r="J152"/>
          <cell r="K152"/>
        </row>
        <row r="153">
          <cell r="B153" t="str">
            <v>RC4CO</v>
          </cell>
          <cell r="C153">
            <v>1.04862118</v>
          </cell>
          <cell r="D153">
            <v>1.04941146</v>
          </cell>
          <cell r="E153">
            <v>1.04990965</v>
          </cell>
          <cell r="F153">
            <v>1.0504112699999999</v>
          </cell>
          <cell r="G153"/>
          <cell r="H153"/>
          <cell r="I153"/>
          <cell r="J153"/>
          <cell r="K153"/>
        </row>
        <row r="154">
          <cell r="B154" t="str">
            <v>BF41O</v>
          </cell>
          <cell r="C154">
            <v>1.0412963900000001</v>
          </cell>
          <cell r="D154">
            <v>1.0420811800000001</v>
          </cell>
          <cell r="E154">
            <v>1.04255466</v>
          </cell>
          <cell r="F154">
            <v>1.04302619</v>
          </cell>
          <cell r="G154"/>
          <cell r="H154"/>
          <cell r="I154"/>
          <cell r="J154"/>
          <cell r="K154"/>
        </row>
        <row r="155">
          <cell r="B155" t="str">
            <v>ICC5O</v>
          </cell>
          <cell r="C155">
            <v>1.0358555199999999</v>
          </cell>
          <cell r="D155">
            <v>1.0366403900000001</v>
          </cell>
          <cell r="E155">
            <v>1.03708826</v>
          </cell>
          <cell r="F155">
            <v>1.03752731</v>
          </cell>
          <cell r="G155"/>
          <cell r="H155"/>
          <cell r="I155"/>
          <cell r="J155"/>
          <cell r="K155"/>
        </row>
        <row r="156">
          <cell r="B156" t="str">
            <v>BNCXO</v>
          </cell>
          <cell r="C156">
            <v>1.0679291900000001</v>
          </cell>
          <cell r="D156">
            <v>1.0003892999999999</v>
          </cell>
          <cell r="E156">
            <v>1.0006841200000001</v>
          </cell>
          <cell r="F156">
            <v>1.0009089600000001</v>
          </cell>
          <cell r="G156"/>
          <cell r="H156"/>
          <cell r="I156"/>
          <cell r="J156"/>
          <cell r="K156"/>
        </row>
        <row r="157">
          <cell r="B157" t="str">
            <v>NZC1O</v>
          </cell>
          <cell r="C157">
            <v>1.0643764200000001</v>
          </cell>
          <cell r="D157">
            <v>1.0651969400000001</v>
          </cell>
          <cell r="E157">
            <v>1.06550758</v>
          </cell>
          <cell r="F157">
            <v>1.0657284199999999</v>
          </cell>
          <cell r="G157"/>
          <cell r="H157"/>
          <cell r="I157"/>
          <cell r="J157"/>
          <cell r="K157"/>
        </row>
        <row r="158">
          <cell r="B158" t="str">
            <v>SXC6O</v>
          </cell>
          <cell r="C158">
            <v>1.05037622</v>
          </cell>
          <cell r="D158">
            <v>1.0511872600000001</v>
          </cell>
          <cell r="E158">
            <v>1.05147656</v>
          </cell>
          <cell r="F158">
            <v>1.0516648799999999</v>
          </cell>
          <cell r="G158"/>
          <cell r="H158"/>
          <cell r="I158"/>
          <cell r="J158"/>
          <cell r="K158"/>
        </row>
        <row r="159">
          <cell r="B159" t="str">
            <v>BF46O</v>
          </cell>
          <cell r="C159">
            <v>1.0496585</v>
          </cell>
          <cell r="D159">
            <v>1.05046895</v>
          </cell>
          <cell r="E159">
            <v>1.05075187</v>
          </cell>
          <cell r="F159">
            <v>1.05092889</v>
          </cell>
          <cell r="G159"/>
          <cell r="H159"/>
          <cell r="I159"/>
          <cell r="J159"/>
          <cell r="K159"/>
        </row>
        <row r="160">
          <cell r="B160" t="str">
            <v>ICC7O</v>
          </cell>
          <cell r="C160">
            <v>1.0284436100000001</v>
          </cell>
          <cell r="D160">
            <v>1.02924872</v>
          </cell>
          <cell r="E160">
            <v>1.0294748199999999</v>
          </cell>
          <cell r="F160">
            <v>1.0295453000000001</v>
          </cell>
          <cell r="G160"/>
          <cell r="H160"/>
          <cell r="I160"/>
          <cell r="J160"/>
          <cell r="K160"/>
        </row>
        <row r="161">
          <cell r="B161" t="str">
            <v>BNCYO</v>
          </cell>
          <cell r="C161">
            <v>1.0238733799999999</v>
          </cell>
          <cell r="D161">
            <v>1.02467671</v>
          </cell>
          <cell r="E161">
            <v>1.0248933499999999</v>
          </cell>
          <cell r="F161">
            <v>1.0249424600000001</v>
          </cell>
          <cell r="G161"/>
          <cell r="H161"/>
          <cell r="I161"/>
          <cell r="J161"/>
          <cell r="K161"/>
        </row>
        <row r="162">
          <cell r="B162" t="str">
            <v>BYY1O</v>
          </cell>
          <cell r="C162">
            <v>1.0375737599999999</v>
          </cell>
          <cell r="D162">
            <v>1.03838093</v>
          </cell>
          <cell r="E162">
            <v>1.03862692</v>
          </cell>
          <cell r="F162">
            <v>1.0387363999999999</v>
          </cell>
          <cell r="G162"/>
          <cell r="H162"/>
          <cell r="I162"/>
          <cell r="J162"/>
          <cell r="K162"/>
        </row>
        <row r="163">
          <cell r="B163" t="str">
            <v>BF47O</v>
          </cell>
          <cell r="C163">
            <v>1.03387308</v>
          </cell>
          <cell r="D163">
            <v>1.0346809699999999</v>
          </cell>
          <cell r="E163">
            <v>1.0349191799999999</v>
          </cell>
          <cell r="F163">
            <v>1.0350151000000001</v>
          </cell>
          <cell r="G163"/>
          <cell r="H163"/>
          <cell r="I163"/>
          <cell r="J163"/>
          <cell r="K163"/>
        </row>
        <row r="164">
          <cell r="B164" t="str">
            <v>NZC4O</v>
          </cell>
          <cell r="C164">
            <v>1.0079561699999999</v>
          </cell>
          <cell r="D164">
            <v>1.00875304</v>
          </cell>
          <cell r="E164">
            <v>1.0089456299999999</v>
          </cell>
          <cell r="F164">
            <v>1.00892662</v>
          </cell>
          <cell r="G164"/>
          <cell r="H164"/>
          <cell r="I164"/>
          <cell r="J164"/>
          <cell r="K164"/>
        </row>
        <row r="165">
          <cell r="B165" t="str">
            <v>SXC8O</v>
          </cell>
          <cell r="C165">
            <v>1.0535397099999999</v>
          </cell>
          <cell r="D165">
            <v>1.05438125</v>
          </cell>
          <cell r="E165">
            <v>1.05462148</v>
          </cell>
          <cell r="F165">
            <v>1.0545544899999999</v>
          </cell>
          <cell r="G165"/>
          <cell r="H165"/>
          <cell r="I165"/>
          <cell r="J165"/>
          <cell r="K165"/>
        </row>
        <row r="166">
          <cell r="B166" t="str">
            <v>PWC1O</v>
          </cell>
          <cell r="C166">
            <v>1.0317639999999999</v>
          </cell>
          <cell r="D166">
            <v>1.0325948599999999</v>
          </cell>
          <cell r="E166">
            <v>1.0326</v>
          </cell>
          <cell r="F166">
            <v>1.0321987399999999</v>
          </cell>
          <cell r="G166"/>
          <cell r="H166"/>
          <cell r="I166"/>
          <cell r="J166"/>
          <cell r="K166"/>
        </row>
        <row r="167">
          <cell r="B167" t="str">
            <v>T661O</v>
          </cell>
          <cell r="C167">
            <v>1.04660036</v>
          </cell>
          <cell r="D167">
            <v>1.04739117</v>
          </cell>
          <cell r="E167">
            <v>1.0480514700000001</v>
          </cell>
          <cell r="F167">
            <v>1.0484869699999999</v>
          </cell>
          <cell r="G167"/>
          <cell r="H167"/>
          <cell r="I167"/>
          <cell r="J167"/>
          <cell r="K167"/>
        </row>
        <row r="168">
          <cell r="B168" t="str">
            <v>PS35O</v>
          </cell>
          <cell r="C168">
            <v>1.03064559</v>
          </cell>
          <cell r="D168">
            <v>1.03144086</v>
          </cell>
          <cell r="E168">
            <v>1.03201907</v>
          </cell>
          <cell r="F168">
            <v>1.0322088</v>
          </cell>
          <cell r="G168"/>
          <cell r="H168"/>
          <cell r="I168"/>
          <cell r="J168"/>
          <cell r="K168"/>
        </row>
        <row r="169">
          <cell r="B169" t="str">
            <v>T671O</v>
          </cell>
          <cell r="C169">
            <v>1.0563253100000001</v>
          </cell>
          <cell r="D169">
            <v>1.0572573999999999</v>
          </cell>
          <cell r="E169">
            <v>1.05722213</v>
          </cell>
          <cell r="F169">
            <v>1.05550557</v>
          </cell>
          <cell r="G169"/>
          <cell r="H169"/>
          <cell r="I169"/>
          <cell r="J169"/>
          <cell r="K169"/>
        </row>
        <row r="170">
          <cell r="B170" t="str">
            <v>PVC6O</v>
          </cell>
          <cell r="C170">
            <v>1.0392226200000001</v>
          </cell>
          <cell r="D170">
            <v>1.0401554900000001</v>
          </cell>
          <cell r="E170">
            <v>1.0384</v>
          </cell>
          <cell r="F170">
            <v>1.03816095</v>
          </cell>
          <cell r="G170"/>
          <cell r="H170"/>
          <cell r="I170"/>
          <cell r="J170"/>
          <cell r="K170"/>
        </row>
        <row r="171">
          <cell r="B171" t="str">
            <v>DHSLO</v>
          </cell>
          <cell r="C171">
            <v>1.0448320600000001</v>
          </cell>
          <cell r="D171">
            <v>1.0458094099999999</v>
          </cell>
          <cell r="E171">
            <v>1.0458115299999999</v>
          </cell>
          <cell r="F171">
            <v>1.0441107199999999</v>
          </cell>
          <cell r="G171"/>
          <cell r="H171"/>
          <cell r="I171"/>
          <cell r="J171"/>
          <cell r="K171"/>
        </row>
        <row r="172">
          <cell r="B172" t="str">
            <v>DEC3O</v>
          </cell>
          <cell r="C172">
            <v>1.02129212</v>
          </cell>
          <cell r="D172">
            <v>1.0222812299999999</v>
          </cell>
          <cell r="E172">
            <v>1.02216503</v>
          </cell>
          <cell r="F172">
            <v>1.0200080300000001</v>
          </cell>
          <cell r="G172"/>
          <cell r="H172"/>
          <cell r="I172"/>
          <cell r="J172"/>
          <cell r="K172"/>
        </row>
        <row r="173"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 t="str">
            <v>Obligaciones Negociables Tasa Fija - Tamar</v>
          </cell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</row>
        <row r="176">
          <cell r="B176" t="str">
            <v>DHSNO</v>
          </cell>
          <cell r="C176">
            <v>1.05415858</v>
          </cell>
          <cell r="D176">
            <v>1.05520072</v>
          </cell>
          <cell r="E176">
            <v>1.05506382</v>
          </cell>
          <cell r="F176">
            <v>1.05250898</v>
          </cell>
          <cell r="G176"/>
          <cell r="H176"/>
          <cell r="I176"/>
          <cell r="J176"/>
          <cell r="K176"/>
        </row>
        <row r="177"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 t="str">
            <v>Obligaciones Negociables UVA</v>
          </cell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</row>
        <row r="180">
          <cell r="B180" t="str">
            <v>NZC3O</v>
          </cell>
          <cell r="C180">
            <v>2191</v>
          </cell>
          <cell r="D180">
            <v>2152.1070965899999</v>
          </cell>
          <cell r="E180">
            <v>2152</v>
          </cell>
          <cell r="F180">
            <v>2165</v>
          </cell>
          <cell r="G180"/>
          <cell r="H180"/>
          <cell r="I180"/>
          <cell r="J180"/>
          <cell r="K180"/>
        </row>
        <row r="181">
          <cell r="B181" t="str">
            <v>COC5O</v>
          </cell>
          <cell r="C181">
            <v>2178.3340690300001</v>
          </cell>
          <cell r="D181">
            <v>2179.7023394900002</v>
          </cell>
          <cell r="E181">
            <v>2179.0133043400001</v>
          </cell>
          <cell r="F181">
            <v>2188.8302341600001</v>
          </cell>
          <cell r="G181"/>
          <cell r="H181"/>
          <cell r="I181"/>
          <cell r="J181"/>
          <cell r="K181"/>
        </row>
        <row r="182">
          <cell r="B182" t="str">
            <v>SNSDP</v>
          </cell>
          <cell r="C182">
            <v>737.02083274999995</v>
          </cell>
          <cell r="D182">
            <v>737.04948377000005</v>
          </cell>
          <cell r="E182">
            <v>737.07436842000004</v>
          </cell>
          <cell r="F182">
            <v>737.24611227000003</v>
          </cell>
          <cell r="G182"/>
          <cell r="H182"/>
          <cell r="I182"/>
          <cell r="J182"/>
          <cell r="K182"/>
        </row>
        <row r="183"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 t="str">
            <v>Obligaciones Negociables Hard USD - LA</v>
          </cell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</row>
        <row r="186">
          <cell r="B186" t="str">
            <v>VE2LD</v>
          </cell>
          <cell r="C186">
            <v>0.99531612999999997</v>
          </cell>
          <cell r="D186">
            <v>0.98370946999999997</v>
          </cell>
          <cell r="E186">
            <v>0.98308218999999997</v>
          </cell>
          <cell r="F186">
            <v>0.98297745000000003</v>
          </cell>
          <cell r="G186"/>
          <cell r="H186"/>
          <cell r="I186"/>
          <cell r="J186"/>
          <cell r="K186"/>
        </row>
        <row r="187">
          <cell r="B187" t="str">
            <v>NA1LD</v>
          </cell>
          <cell r="C187">
            <v>0.97167093000000004</v>
          </cell>
          <cell r="D187">
            <v>0.97508598999999996</v>
          </cell>
          <cell r="E187">
            <v>0.97430006000000002</v>
          </cell>
          <cell r="F187">
            <v>0.97432901999999999</v>
          </cell>
          <cell r="G187"/>
          <cell r="H187"/>
          <cell r="I187"/>
          <cell r="J187"/>
          <cell r="K187"/>
        </row>
        <row r="188">
          <cell r="B188" t="str">
            <v>OR1LD</v>
          </cell>
          <cell r="C188">
            <v>0.98410297999999996</v>
          </cell>
          <cell r="D188">
            <v>0.98737470000000005</v>
          </cell>
          <cell r="E188">
            <v>0.98655793999999997</v>
          </cell>
          <cell r="F188">
            <v>0.98669521999999998</v>
          </cell>
          <cell r="G188"/>
          <cell r="H188"/>
          <cell r="I188"/>
          <cell r="J188"/>
          <cell r="K188"/>
        </row>
        <row r="189">
          <cell r="B189" t="str">
            <v>BYCWD</v>
          </cell>
          <cell r="C189">
            <v>1.0301491</v>
          </cell>
          <cell r="D189">
            <v>1.03105712</v>
          </cell>
          <cell r="E189">
            <v>1.0315018499999999</v>
          </cell>
          <cell r="F189">
            <v>1.032</v>
          </cell>
          <cell r="G189"/>
          <cell r="H189"/>
          <cell r="I189"/>
          <cell r="J189"/>
          <cell r="K189"/>
        </row>
        <row r="190">
          <cell r="B190" t="str">
            <v>BYCXD</v>
          </cell>
          <cell r="C190">
            <v>1.02330622</v>
          </cell>
          <cell r="D190">
            <v>1.0248512299999999</v>
          </cell>
          <cell r="E190">
            <v>1.02498482</v>
          </cell>
          <cell r="F190">
            <v>1.02467219</v>
          </cell>
          <cell r="G190"/>
          <cell r="H190"/>
          <cell r="I190"/>
          <cell r="J190"/>
          <cell r="K190"/>
        </row>
        <row r="191">
          <cell r="B191" t="str">
            <v>YM41D</v>
          </cell>
          <cell r="C191">
            <v>1.0084980100000001</v>
          </cell>
          <cell r="D191">
            <v>1.01019679</v>
          </cell>
          <cell r="E191">
            <v>1.0103365200000001</v>
          </cell>
          <cell r="F191">
            <v>1.0128884899999999</v>
          </cell>
          <cell r="G191"/>
          <cell r="H191"/>
          <cell r="I191"/>
          <cell r="J191"/>
          <cell r="K191"/>
        </row>
        <row r="192">
          <cell r="B192" t="str">
            <v>YM37D</v>
          </cell>
          <cell r="C192">
            <v>1.02048921</v>
          </cell>
          <cell r="D192">
            <v>1.0210041599999999</v>
          </cell>
          <cell r="E192">
            <v>1.0219222299999999</v>
          </cell>
          <cell r="F192">
            <v>1.0200083900000001</v>
          </cell>
          <cell r="G192"/>
          <cell r="H192"/>
          <cell r="I192"/>
          <cell r="J192"/>
          <cell r="K192"/>
        </row>
        <row r="193">
          <cell r="B193" t="str">
            <v>YFCMD</v>
          </cell>
          <cell r="C193">
            <v>1.0226209500000001</v>
          </cell>
          <cell r="D193">
            <v>1.0260133300000001</v>
          </cell>
          <cell r="E193">
            <v>1.0260239499999999</v>
          </cell>
          <cell r="F193">
            <v>1.02539969</v>
          </cell>
          <cell r="G193"/>
          <cell r="H193"/>
          <cell r="I193"/>
          <cell r="J193"/>
          <cell r="K193"/>
        </row>
        <row r="194">
          <cell r="B194" t="str">
            <v>PFC2D</v>
          </cell>
          <cell r="C194">
            <v>1.0422102499999999</v>
          </cell>
          <cell r="D194">
            <v>1.0459917299999999</v>
          </cell>
          <cell r="E194">
            <v>1.0458446800000001</v>
          </cell>
          <cell r="F194">
            <v>1.04518668</v>
          </cell>
          <cell r="G194"/>
          <cell r="H194"/>
          <cell r="I194"/>
          <cell r="J194"/>
          <cell r="K194"/>
        </row>
        <row r="195">
          <cell r="B195" t="str">
            <v>YM38D</v>
          </cell>
          <cell r="C195">
            <v>1.02295436</v>
          </cell>
          <cell r="D195">
            <v>1.0269863299999999</v>
          </cell>
          <cell r="E195">
            <v>1.0241074400000001</v>
          </cell>
          <cell r="F195">
            <v>1.0234543899999999</v>
          </cell>
          <cell r="G195"/>
          <cell r="H195"/>
          <cell r="I195"/>
          <cell r="J195"/>
          <cell r="K195"/>
        </row>
        <row r="196">
          <cell r="B196" t="str">
            <v>BYZ1D</v>
          </cell>
          <cell r="C196">
            <v>1.0003856900000001</v>
          </cell>
          <cell r="D196">
            <v>1.0041346499999999</v>
          </cell>
          <cell r="E196">
            <v>1.0039349099999999</v>
          </cell>
          <cell r="F196">
            <v>1.00330998</v>
          </cell>
          <cell r="G196"/>
          <cell r="H196"/>
          <cell r="I196"/>
          <cell r="J196"/>
          <cell r="K196"/>
        </row>
        <row r="197">
          <cell r="B197" t="str">
            <v>PN38D</v>
          </cell>
          <cell r="C197">
            <v>1.0305894</v>
          </cell>
          <cell r="D197">
            <v>1.03446214</v>
          </cell>
          <cell r="E197">
            <v>1.03423504</v>
          </cell>
          <cell r="F197">
            <v>1.03360137</v>
          </cell>
          <cell r="G197"/>
          <cell r="H197"/>
          <cell r="I197"/>
          <cell r="J197"/>
          <cell r="K197"/>
        </row>
        <row r="198">
          <cell r="B198" t="str">
            <v>BF40D</v>
          </cell>
          <cell r="C198">
            <v>1.0134450699999999</v>
          </cell>
          <cell r="D198">
            <v>1.0173182000000001</v>
          </cell>
          <cell r="E198">
            <v>1.0170440999999999</v>
          </cell>
          <cell r="F198">
            <v>1.0164360699999999</v>
          </cell>
          <cell r="G198"/>
          <cell r="H198"/>
          <cell r="I198"/>
          <cell r="J198"/>
          <cell r="K198"/>
        </row>
        <row r="199">
          <cell r="B199" t="str">
            <v>PN34D</v>
          </cell>
          <cell r="C199">
            <v>1.00828585</v>
          </cell>
          <cell r="D199">
            <v>1.0122107600000001</v>
          </cell>
          <cell r="E199">
            <v>1.0118408299999999</v>
          </cell>
          <cell r="F199">
            <v>1.01127799</v>
          </cell>
          <cell r="G199"/>
          <cell r="H199"/>
          <cell r="I199"/>
          <cell r="J199"/>
          <cell r="K199"/>
        </row>
        <row r="200">
          <cell r="B200" t="str">
            <v>TTCBD</v>
          </cell>
          <cell r="C200">
            <v>1.02011059</v>
          </cell>
          <cell r="D200">
            <v>1.0241025399999999</v>
          </cell>
          <cell r="E200">
            <v>1.0236631199999999</v>
          </cell>
          <cell r="F200">
            <v>1.0231290399999999</v>
          </cell>
          <cell r="G200"/>
          <cell r="H200"/>
          <cell r="I200"/>
          <cell r="J200"/>
          <cell r="K200"/>
        </row>
        <row r="201">
          <cell r="B201" t="str">
            <v>TTC8D</v>
          </cell>
          <cell r="C201">
            <v>1.0042109100000001</v>
          </cell>
          <cell r="D201">
            <v>1.0081533899999999</v>
          </cell>
          <cell r="E201">
            <v>1.00769431</v>
          </cell>
          <cell r="F201">
            <v>1.00718201</v>
          </cell>
          <cell r="G201"/>
          <cell r="H201"/>
          <cell r="I201"/>
          <cell r="J201"/>
          <cell r="K201"/>
        </row>
        <row r="202">
          <cell r="B202" t="str">
            <v>PLC1D</v>
          </cell>
          <cell r="C202">
            <v>1.01298428</v>
          </cell>
          <cell r="D202">
            <v>1.01689053</v>
          </cell>
          <cell r="E202">
            <v>1.01612923</v>
          </cell>
          <cell r="F202">
            <v>1.0158255</v>
          </cell>
          <cell r="G202"/>
          <cell r="H202"/>
          <cell r="I202"/>
          <cell r="J202"/>
          <cell r="K202"/>
        </row>
        <row r="203">
          <cell r="B203" t="str">
            <v>PLC3D</v>
          </cell>
          <cell r="C203">
            <v>1.04725848</v>
          </cell>
          <cell r="D203">
            <v>1.0510243800000001</v>
          </cell>
          <cell r="E203">
            <v>1.0499715000000001</v>
          </cell>
          <cell r="F203">
            <v>1.0499219900000001</v>
          </cell>
          <cell r="G203"/>
          <cell r="H203"/>
          <cell r="I203"/>
          <cell r="J203"/>
          <cell r="K203"/>
        </row>
        <row r="204">
          <cell r="B204" t="str">
            <v>BF44D</v>
          </cell>
          <cell r="C204">
            <v>1.02030815</v>
          </cell>
          <cell r="D204">
            <v>1.02391605</v>
          </cell>
          <cell r="E204">
            <v>1.02285694</v>
          </cell>
          <cell r="F204">
            <v>1.02284785</v>
          </cell>
          <cell r="G204"/>
          <cell r="H204"/>
          <cell r="I204"/>
          <cell r="J204"/>
          <cell r="K204"/>
        </row>
        <row r="205">
          <cell r="B205" t="str">
            <v>YM40D</v>
          </cell>
          <cell r="C205">
            <v>1.04894094</v>
          </cell>
          <cell r="D205">
            <v>1.0523256700000001</v>
          </cell>
          <cell r="E205">
            <v>1.0509815</v>
          </cell>
          <cell r="F205">
            <v>1.05128636</v>
          </cell>
          <cell r="G205"/>
          <cell r="H205"/>
          <cell r="I205"/>
          <cell r="J205"/>
          <cell r="K205"/>
        </row>
        <row r="206">
          <cell r="B206" t="str">
            <v>YMCZD</v>
          </cell>
          <cell r="C206">
            <v>1.0649015799999999</v>
          </cell>
          <cell r="D206">
            <v>1.0681933100000001</v>
          </cell>
          <cell r="E206">
            <v>1.0666546400000001</v>
          </cell>
          <cell r="F206">
            <v>1.06705911</v>
          </cell>
          <cell r="G206"/>
          <cell r="H206"/>
          <cell r="I206"/>
          <cell r="J206"/>
          <cell r="K206"/>
        </row>
        <row r="207">
          <cell r="B207" t="str">
            <v>YMCYD</v>
          </cell>
          <cell r="C207">
            <v>1.0247967499999999</v>
          </cell>
          <cell r="D207">
            <v>1.02799101</v>
          </cell>
          <cell r="E207">
            <v>1.02656473</v>
          </cell>
          <cell r="F207">
            <v>1.0269971499999999</v>
          </cell>
          <cell r="G207"/>
          <cell r="H207"/>
          <cell r="I207"/>
          <cell r="J207"/>
          <cell r="K207"/>
        </row>
        <row r="208">
          <cell r="B208" t="str">
            <v>GN47D</v>
          </cell>
          <cell r="C208">
            <v>1.00949051</v>
          </cell>
          <cell r="D208">
            <v>1.0126364800000001</v>
          </cell>
          <cell r="E208">
            <v>1.01120286</v>
          </cell>
          <cell r="F208">
            <v>1.0116676499999999</v>
          </cell>
          <cell r="G208"/>
          <cell r="H208"/>
          <cell r="I208"/>
          <cell r="J208"/>
          <cell r="K208"/>
        </row>
        <row r="209">
          <cell r="B209" t="str">
            <v>YFCLD</v>
          </cell>
          <cell r="C209">
            <v>1.0415152999999999</v>
          </cell>
          <cell r="D209">
            <v>1.04460631</v>
          </cell>
          <cell r="E209">
            <v>1.0430992699999999</v>
          </cell>
          <cell r="F209">
            <v>1.04365033</v>
          </cell>
          <cell r="G209"/>
          <cell r="H209"/>
          <cell r="I209"/>
          <cell r="J209"/>
          <cell r="K209"/>
        </row>
        <row r="210">
          <cell r="B210" t="str">
            <v>YFCOD</v>
          </cell>
          <cell r="C210">
            <v>1.03044311</v>
          </cell>
          <cell r="D210">
            <v>1.0334597800000001</v>
          </cell>
          <cell r="E210">
            <v>1.0319414499999999</v>
          </cell>
          <cell r="F210">
            <v>1.0325612500000001</v>
          </cell>
          <cell r="G210"/>
          <cell r="H210"/>
          <cell r="I210"/>
          <cell r="J210"/>
          <cell r="K210"/>
        </row>
        <row r="211">
          <cell r="B211" t="str">
            <v>PLC6D</v>
          </cell>
          <cell r="C211">
            <v>1.0585855500000001</v>
          </cell>
          <cell r="D211">
            <v>1.0614379199999999</v>
          </cell>
          <cell r="E211">
            <v>1.0530011800000001</v>
          </cell>
          <cell r="F211">
            <v>1.0569999999999999</v>
          </cell>
          <cell r="G211"/>
          <cell r="H211"/>
          <cell r="I211"/>
          <cell r="J211"/>
          <cell r="K211"/>
        </row>
        <row r="212">
          <cell r="B212" t="str">
            <v>YM42D</v>
          </cell>
          <cell r="C212">
            <v>1.04993464</v>
          </cell>
          <cell r="D212">
            <v>1.0510518499999999</v>
          </cell>
          <cell r="E212">
            <v>1.0540068300000001</v>
          </cell>
          <cell r="F212">
            <v>1.0552737000000001</v>
          </cell>
          <cell r="G212"/>
          <cell r="H212"/>
          <cell r="I212"/>
          <cell r="J212"/>
          <cell r="K212"/>
        </row>
        <row r="213">
          <cell r="B213" t="str">
            <v>TLCUD</v>
          </cell>
          <cell r="C213">
            <v>1.0245798399999999</v>
          </cell>
          <cell r="D213">
            <v>1.02740689</v>
          </cell>
          <cell r="E213">
            <v>1.0258062400000001</v>
          </cell>
          <cell r="F213">
            <v>1.0266416199999999</v>
          </cell>
          <cell r="G213"/>
          <cell r="H213"/>
          <cell r="I213"/>
          <cell r="J213"/>
          <cell r="K213"/>
        </row>
        <row r="214">
          <cell r="B214" t="str">
            <v>OLC6D</v>
          </cell>
          <cell r="C214">
            <v>1.0676978699999999</v>
          </cell>
          <cell r="D214">
            <v>1.07046069</v>
          </cell>
          <cell r="E214">
            <v>1.06495852</v>
          </cell>
          <cell r="F214">
            <v>1.0698667900000001</v>
          </cell>
          <cell r="G214"/>
          <cell r="H214"/>
          <cell r="I214"/>
          <cell r="J214"/>
          <cell r="K214"/>
        </row>
        <row r="215">
          <cell r="B215" t="str">
            <v>T672D</v>
          </cell>
          <cell r="C215">
            <v>1.00886217</v>
          </cell>
          <cell r="D215">
            <v>1.0117787</v>
          </cell>
          <cell r="E215">
            <v>1.01</v>
          </cell>
          <cell r="F215">
            <v>1.0169999999999999</v>
          </cell>
          <cell r="G215"/>
          <cell r="H215"/>
          <cell r="I215"/>
          <cell r="J215"/>
          <cell r="K215"/>
        </row>
        <row r="216">
          <cell r="B216" t="str">
            <v>T682D</v>
          </cell>
          <cell r="C216"/>
          <cell r="D216"/>
          <cell r="E216"/>
          <cell r="F216">
            <v>1</v>
          </cell>
          <cell r="G216"/>
          <cell r="H216"/>
          <cell r="I216"/>
          <cell r="J216"/>
          <cell r="K216"/>
        </row>
        <row r="217">
          <cell r="B217" t="str">
            <v>CS48D</v>
          </cell>
          <cell r="C217">
            <v>1.0660647000000001</v>
          </cell>
          <cell r="D217">
            <v>1.06965939</v>
          </cell>
          <cell r="E217">
            <v>1.0684099600000001</v>
          </cell>
          <cell r="F217">
            <v>1.06857165</v>
          </cell>
          <cell r="G217"/>
          <cell r="H217"/>
          <cell r="I217"/>
          <cell r="J217"/>
          <cell r="K217"/>
        </row>
        <row r="218">
          <cell r="B218" t="str">
            <v>CS47D</v>
          </cell>
          <cell r="C218">
            <v>1.0580496800000001</v>
          </cell>
          <cell r="D218">
            <v>1.0611826600000001</v>
          </cell>
          <cell r="E218">
            <v>1.05969063</v>
          </cell>
          <cell r="F218">
            <v>1.0497905000000001</v>
          </cell>
          <cell r="G218"/>
          <cell r="H218"/>
          <cell r="I218"/>
          <cell r="J218"/>
          <cell r="K218"/>
        </row>
        <row r="219">
          <cell r="B219" t="str">
            <v>ZZC1D</v>
          </cell>
          <cell r="C219">
            <v>1.0235482199999999</v>
          </cell>
          <cell r="D219">
            <v>1.0265329700000001</v>
          </cell>
          <cell r="E219">
            <v>1.0257220499999999</v>
          </cell>
          <cell r="F219">
            <v>1.0254249600000001</v>
          </cell>
          <cell r="G219"/>
          <cell r="H219"/>
          <cell r="I219"/>
          <cell r="J219"/>
          <cell r="K219"/>
        </row>
        <row r="220">
          <cell r="B220" t="str">
            <v>BVCUD</v>
          </cell>
          <cell r="C220">
            <v>0.99830892999999998</v>
          </cell>
          <cell r="D220">
            <v>1.0023129</v>
          </cell>
          <cell r="E220">
            <v>1.0008794999999999</v>
          </cell>
          <cell r="F220">
            <v>1.00060466</v>
          </cell>
          <cell r="G220"/>
          <cell r="H220"/>
          <cell r="I220"/>
          <cell r="J220"/>
          <cell r="K220"/>
        </row>
        <row r="221">
          <cell r="B221" t="str">
            <v>JNC6D</v>
          </cell>
          <cell r="C221">
            <v>1.01851698</v>
          </cell>
          <cell r="D221">
            <v>1.02389123</v>
          </cell>
          <cell r="E221">
            <v>1.0207953999999999</v>
          </cell>
          <cell r="F221">
            <v>1.0208012099999999</v>
          </cell>
          <cell r="G221"/>
          <cell r="H221"/>
          <cell r="I221"/>
          <cell r="J221"/>
          <cell r="K221"/>
        </row>
        <row r="222">
          <cell r="B222" t="str">
            <v>HVS1D</v>
          </cell>
          <cell r="C222">
            <v>1.0110473799999999</v>
          </cell>
          <cell r="D222">
            <v>1.0168724</v>
          </cell>
          <cell r="E222">
            <v>1.01094258</v>
          </cell>
          <cell r="F222">
            <v>1.01199741</v>
          </cell>
          <cell r="G222"/>
          <cell r="H222"/>
          <cell r="I222"/>
          <cell r="J222"/>
          <cell r="K222"/>
        </row>
        <row r="223">
          <cell r="B223" t="str">
            <v>TGCHD</v>
          </cell>
          <cell r="C223">
            <v>9.9999999999999995E-8</v>
          </cell>
          <cell r="D223">
            <v>9.9999999999999995E-8</v>
          </cell>
          <cell r="E223">
            <v>9.9999999999999995E-8</v>
          </cell>
          <cell r="F223">
            <v>9.9999999999999995E-8</v>
          </cell>
          <cell r="G223"/>
          <cell r="H223"/>
          <cell r="I223"/>
          <cell r="J223"/>
          <cell r="K223"/>
        </row>
        <row r="224"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 t="str">
            <v>Obligaciones Negociables Hard USD - LA - Contra $</v>
          </cell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/>
          <cell r="C226"/>
          <cell r="D226"/>
          <cell r="E226"/>
          <cell r="F226"/>
          <cell r="G226"/>
          <cell r="H226"/>
          <cell r="I226"/>
          <cell r="J226"/>
          <cell r="K226"/>
        </row>
        <row r="227">
          <cell r="B227" t="str">
            <v>VES2L</v>
          </cell>
          <cell r="C227">
            <v>1600.43766164</v>
          </cell>
          <cell r="D227">
            <v>1571.6797400999999</v>
          </cell>
          <cell r="E227">
            <v>1581.0490690700001</v>
          </cell>
          <cell r="F227">
            <v>1574.42680004</v>
          </cell>
          <cell r="G227"/>
          <cell r="H227"/>
          <cell r="I227"/>
          <cell r="J227"/>
          <cell r="K227"/>
        </row>
        <row r="228">
          <cell r="B228" t="str">
            <v>NAS1L</v>
          </cell>
          <cell r="C228">
            <v>1569.02957158</v>
          </cell>
          <cell r="D228">
            <v>1564.7418684700001</v>
          </cell>
          <cell r="E228">
            <v>1574.081189</v>
          </cell>
          <cell r="F228">
            <v>1567.7182195400001</v>
          </cell>
          <cell r="G228"/>
          <cell r="H228"/>
          <cell r="I228"/>
          <cell r="J228"/>
          <cell r="K228"/>
        </row>
        <row r="229">
          <cell r="B229" t="str">
            <v>ORS1L</v>
          </cell>
          <cell r="C229">
            <v>1592.1519562399999</v>
          </cell>
          <cell r="D229">
            <v>1586.62732581</v>
          </cell>
          <cell r="E229">
            <v>1596.1006819500001</v>
          </cell>
          <cell r="F229">
            <v>1591.0876871200001</v>
          </cell>
          <cell r="G229"/>
          <cell r="H229"/>
          <cell r="I229"/>
          <cell r="J229"/>
          <cell r="K229"/>
        </row>
        <row r="230">
          <cell r="B230" t="str">
            <v>BYCWO</v>
          </cell>
          <cell r="C230">
            <v>1620.8603849199999</v>
          </cell>
          <cell r="D230">
            <v>1607.8251952999999</v>
          </cell>
          <cell r="E230">
            <v>1617.3154923899999</v>
          </cell>
          <cell r="F230">
            <v>1623.7</v>
          </cell>
          <cell r="G230"/>
          <cell r="H230"/>
          <cell r="I230"/>
          <cell r="J230"/>
          <cell r="K230"/>
        </row>
        <row r="231">
          <cell r="B231" t="str">
            <v>BYCXO</v>
          </cell>
          <cell r="C231">
            <v>1609.1594907799999</v>
          </cell>
          <cell r="D231">
            <v>1596.1491977400001</v>
          </cell>
          <cell r="E231">
            <v>1605.5752569199999</v>
          </cell>
          <cell r="F231">
            <v>1598.90860836</v>
          </cell>
          <cell r="G231"/>
          <cell r="H231"/>
          <cell r="I231"/>
          <cell r="J231"/>
          <cell r="K231"/>
        </row>
        <row r="232">
          <cell r="B232" t="str">
            <v>YM41O</v>
          </cell>
          <cell r="C232">
            <v>1582.4352732299999</v>
          </cell>
          <cell r="D232">
            <v>1569.7224274299999</v>
          </cell>
          <cell r="E232">
            <v>1579.04470105</v>
          </cell>
          <cell r="F232">
            <v>1579.9997261999999</v>
          </cell>
          <cell r="G232"/>
          <cell r="H232"/>
          <cell r="I232"/>
          <cell r="J232"/>
          <cell r="K232"/>
        </row>
        <row r="233">
          <cell r="B233" t="str">
            <v>YM37O</v>
          </cell>
          <cell r="C233">
            <v>1600.04807155</v>
          </cell>
          <cell r="D233">
            <v>1589.7646179200001</v>
          </cell>
          <cell r="E233">
            <v>1601.8659182599999</v>
          </cell>
          <cell r="F233">
            <v>1595.0281815999999</v>
          </cell>
          <cell r="G233"/>
          <cell r="H233"/>
          <cell r="I233"/>
          <cell r="J233"/>
          <cell r="K233"/>
        </row>
        <row r="234">
          <cell r="B234" t="str">
            <v>YFCMO</v>
          </cell>
          <cell r="C234">
            <v>1610.50424383</v>
          </cell>
          <cell r="D234">
            <v>1599.86429961</v>
          </cell>
          <cell r="E234">
            <v>1609.34037681</v>
          </cell>
          <cell r="F234">
            <v>1604.4789431300001</v>
          </cell>
          <cell r="G234"/>
          <cell r="H234"/>
          <cell r="I234"/>
          <cell r="J234"/>
          <cell r="K234"/>
        </row>
        <row r="235">
          <cell r="B235" t="str">
            <v>PFC2O</v>
          </cell>
          <cell r="C235">
            <v>1635.0010495500001</v>
          </cell>
          <cell r="D235">
            <v>1625.79131467</v>
          </cell>
          <cell r="E235">
            <v>1635.4260987800001</v>
          </cell>
          <cell r="F235">
            <v>1630.01666531</v>
          </cell>
          <cell r="G235"/>
          <cell r="H235"/>
          <cell r="I235"/>
          <cell r="J235"/>
          <cell r="K235"/>
        </row>
        <row r="236">
          <cell r="B236" t="str">
            <v>YM38O</v>
          </cell>
          <cell r="C236">
            <v>1600.84540315</v>
          </cell>
          <cell r="D236">
            <v>1598.9008910800001</v>
          </cell>
          <cell r="E236">
            <v>1607.0095245699999</v>
          </cell>
          <cell r="F236">
            <v>1601.6079068199999</v>
          </cell>
          <cell r="G236"/>
          <cell r="H236"/>
          <cell r="I236"/>
          <cell r="J236"/>
          <cell r="K236"/>
        </row>
        <row r="237">
          <cell r="B237" t="str">
            <v>BYZ1O</v>
          </cell>
          <cell r="C237">
            <v>1569.1265354100001</v>
          </cell>
          <cell r="D237">
            <v>1560.94131416</v>
          </cell>
          <cell r="E237">
            <v>1570.19577123</v>
          </cell>
          <cell r="F237">
            <v>1564.78271769</v>
          </cell>
          <cell r="G237"/>
          <cell r="H237"/>
          <cell r="I237"/>
          <cell r="J237"/>
          <cell r="K237"/>
        </row>
        <row r="238">
          <cell r="B238" t="str">
            <v>PN38O</v>
          </cell>
          <cell r="C238">
            <v>1716.9370667000001</v>
          </cell>
          <cell r="D238">
            <v>1608.24564459</v>
          </cell>
          <cell r="E238">
            <v>1617.7817358740899</v>
          </cell>
          <cell r="F238">
            <v>1612.0829769050899</v>
          </cell>
          <cell r="G238"/>
          <cell r="H238"/>
          <cell r="I238"/>
          <cell r="J238"/>
          <cell r="K238"/>
        </row>
        <row r="239">
          <cell r="B239" t="str">
            <v>BF40O</v>
          </cell>
          <cell r="C239">
            <v>1589.4140597200001</v>
          </cell>
          <cell r="D239">
            <v>1581.8688199799999</v>
          </cell>
          <cell r="E239">
            <v>1591.25166414</v>
          </cell>
          <cell r="F239">
            <v>1585.4164772700001</v>
          </cell>
          <cell r="G239"/>
          <cell r="H239"/>
          <cell r="I239"/>
          <cell r="J239"/>
          <cell r="K239"/>
        </row>
        <row r="240">
          <cell r="B240" t="str">
            <v>TTCBO</v>
          </cell>
          <cell r="C240">
            <v>1599.5833113799999</v>
          </cell>
          <cell r="D240">
            <v>1593.5789604900001</v>
          </cell>
          <cell r="E240">
            <v>1603.04061912</v>
          </cell>
          <cell r="F240">
            <v>1596.3496157500001</v>
          </cell>
          <cell r="G240"/>
          <cell r="H240"/>
          <cell r="I240"/>
          <cell r="J240"/>
          <cell r="K240"/>
        </row>
        <row r="241">
          <cell r="B241" t="str">
            <v>TTC8O</v>
          </cell>
          <cell r="C241">
            <v>1574.6128988</v>
          </cell>
          <cell r="D241">
            <v>1568.95243372</v>
          </cell>
          <cell r="E241">
            <v>1578.2693895299999</v>
          </cell>
          <cell r="F241">
            <v>1571.5556223000001</v>
          </cell>
          <cell r="G241"/>
          <cell r="H241"/>
          <cell r="I241"/>
          <cell r="J241"/>
          <cell r="K241"/>
        </row>
        <row r="242">
          <cell r="B242" t="str">
            <v>PLC1O</v>
          </cell>
          <cell r="C242">
            <v>1588.4358056599999</v>
          </cell>
          <cell r="D242">
            <v>1585.1314610699999</v>
          </cell>
          <cell r="E242">
            <v>1594.5605609500001</v>
          </cell>
          <cell r="F242">
            <v>1586.4651566099999</v>
          </cell>
          <cell r="G242"/>
          <cell r="H242"/>
          <cell r="I242"/>
          <cell r="J242"/>
          <cell r="K242"/>
        </row>
        <row r="243">
          <cell r="B243" t="str">
            <v>BF44O</v>
          </cell>
          <cell r="C243">
            <v>1600.76454534</v>
          </cell>
          <cell r="D243">
            <v>1598.97821505</v>
          </cell>
          <cell r="E243">
            <v>1608.50521989</v>
          </cell>
          <cell r="F243">
            <v>1599.64655991</v>
          </cell>
          <cell r="G243"/>
          <cell r="H243"/>
          <cell r="I243"/>
          <cell r="J243"/>
          <cell r="K243"/>
        </row>
        <row r="244">
          <cell r="B244" t="str">
            <v>YM40O</v>
          </cell>
          <cell r="C244">
            <v>1647.9148380900001</v>
          </cell>
          <cell r="D244">
            <v>1646.27760741</v>
          </cell>
          <cell r="E244">
            <v>1656.10003676</v>
          </cell>
          <cell r="F244">
            <v>1647.9222012600001</v>
          </cell>
          <cell r="G244"/>
          <cell r="H244"/>
          <cell r="I244"/>
          <cell r="J244"/>
          <cell r="K244"/>
        </row>
        <row r="245">
          <cell r="B245" t="str">
            <v>YMCZO</v>
          </cell>
          <cell r="C245">
            <v>1683.5476361000001</v>
          </cell>
          <cell r="D245">
            <v>1681.68191058</v>
          </cell>
          <cell r="E245">
            <v>1691.6279906499999</v>
          </cell>
          <cell r="F245">
            <v>1684.06058248</v>
          </cell>
          <cell r="G245"/>
          <cell r="H245"/>
          <cell r="I245"/>
          <cell r="J245"/>
          <cell r="K245"/>
        </row>
        <row r="246">
          <cell r="B246" t="str">
            <v>YMCYO</v>
          </cell>
          <cell r="C246">
            <v>1602.32059422</v>
          </cell>
          <cell r="D246">
            <v>1600.56896168</v>
          </cell>
          <cell r="E246">
            <v>1610.1321662299999</v>
          </cell>
          <cell r="F246">
            <v>1603.01363208</v>
          </cell>
          <cell r="G246"/>
          <cell r="H246"/>
          <cell r="I246"/>
          <cell r="J246"/>
          <cell r="K246"/>
        </row>
        <row r="247">
          <cell r="B247" t="str">
            <v>GN47O</v>
          </cell>
          <cell r="C247">
            <v>1585.9431962399999</v>
          </cell>
          <cell r="D247">
            <v>1584.26092758</v>
          </cell>
          <cell r="E247">
            <v>1593.7266395700001</v>
          </cell>
          <cell r="F247">
            <v>1586.85238043</v>
          </cell>
          <cell r="G247"/>
          <cell r="H247"/>
          <cell r="I247"/>
          <cell r="J247"/>
          <cell r="K247"/>
        </row>
        <row r="248">
          <cell r="B248" t="str">
            <v>YFCLO</v>
          </cell>
          <cell r="C248">
            <v>1627.56565578</v>
          </cell>
          <cell r="D248">
            <v>1625.0461366300001</v>
          </cell>
          <cell r="E248">
            <v>1634.75525644</v>
          </cell>
          <cell r="F248">
            <v>1628.6446338200001</v>
          </cell>
          <cell r="G248"/>
          <cell r="H248"/>
          <cell r="I248"/>
          <cell r="J248"/>
          <cell r="K248"/>
        </row>
        <row r="249">
          <cell r="B249" t="str">
            <v>YFCOO</v>
          </cell>
          <cell r="C249">
            <v>1621.0509448099999</v>
          </cell>
          <cell r="D249">
            <v>1618.1360007200001</v>
          </cell>
          <cell r="E249">
            <v>1627.80769882</v>
          </cell>
          <cell r="F249">
            <v>1622.4796998899999</v>
          </cell>
          <cell r="G249"/>
          <cell r="H249"/>
          <cell r="I249"/>
          <cell r="J249"/>
          <cell r="K249"/>
        </row>
        <row r="250">
          <cell r="B250" t="str">
            <v>PLC6O</v>
          </cell>
          <cell r="C250">
            <v>1665.8989328800001</v>
          </cell>
          <cell r="D250">
            <v>1660.6801941799999</v>
          </cell>
          <cell r="E250">
            <v>1650.6645151600001</v>
          </cell>
          <cell r="F250">
            <v>1668.05814007</v>
          </cell>
          <cell r="G250"/>
          <cell r="H250"/>
          <cell r="I250"/>
          <cell r="J250"/>
          <cell r="K250"/>
        </row>
        <row r="251">
          <cell r="B251" t="str">
            <v>YM42O</v>
          </cell>
          <cell r="C251">
            <v>1656.2437585299999</v>
          </cell>
          <cell r="D251">
            <v>1634.5951803099999</v>
          </cell>
          <cell r="E251">
            <v>1644.32755724</v>
          </cell>
          <cell r="F251">
            <v>1671.0643401699999</v>
          </cell>
          <cell r="G251"/>
          <cell r="H251"/>
          <cell r="I251"/>
          <cell r="J251"/>
          <cell r="K251"/>
        </row>
        <row r="252">
          <cell r="B252" t="str">
            <v>TLCUO</v>
          </cell>
          <cell r="C252">
            <v>1612.5215571799999</v>
          </cell>
          <cell r="D252">
            <v>1607.5046615000001</v>
          </cell>
          <cell r="E252">
            <v>1617.1269114199999</v>
          </cell>
          <cell r="F252">
            <v>1615.1962243600001</v>
          </cell>
          <cell r="G252"/>
          <cell r="H252"/>
          <cell r="I252"/>
          <cell r="J252"/>
          <cell r="K252"/>
        </row>
        <row r="253">
          <cell r="B253" t="str">
            <v>OLC6O</v>
          </cell>
          <cell r="C253">
            <v>1682.6034531299999</v>
          </cell>
          <cell r="D253">
            <v>1673.47405379</v>
          </cell>
          <cell r="E253">
            <v>1683.4986664999999</v>
          </cell>
          <cell r="F253">
            <v>1686.4778260200001</v>
          </cell>
          <cell r="G253"/>
          <cell r="H253"/>
          <cell r="I253"/>
          <cell r="J253"/>
          <cell r="K253"/>
        </row>
        <row r="254">
          <cell r="B254" t="str">
            <v>T672O</v>
          </cell>
          <cell r="C254">
            <v>1583.3792918500001</v>
          </cell>
          <cell r="D254">
            <v>1572.5684753</v>
          </cell>
          <cell r="E254">
            <v>1581.9366714</v>
          </cell>
          <cell r="F254">
            <v>1575.81723809</v>
          </cell>
          <cell r="G254"/>
          <cell r="H254"/>
          <cell r="I254"/>
          <cell r="J254"/>
          <cell r="K254"/>
        </row>
        <row r="255">
          <cell r="B255" t="str">
            <v>T682O</v>
          </cell>
          <cell r="C255"/>
          <cell r="D255"/>
          <cell r="E255"/>
          <cell r="F255">
            <v>1536.4922618200001</v>
          </cell>
          <cell r="G255"/>
          <cell r="H255"/>
          <cell r="I255"/>
          <cell r="J255"/>
          <cell r="K255"/>
        </row>
        <row r="256">
          <cell r="B256" t="str">
            <v>CS48O</v>
          </cell>
          <cell r="C256">
            <v>1673.27201547</v>
          </cell>
          <cell r="D256">
            <v>1671.6248402399999</v>
          </cell>
          <cell r="E256">
            <v>1681.5937266200001</v>
          </cell>
          <cell r="F256">
            <v>1672.72745932</v>
          </cell>
          <cell r="G256"/>
          <cell r="H256"/>
          <cell r="I256"/>
          <cell r="J256"/>
          <cell r="K256"/>
        </row>
        <row r="257">
          <cell r="B257" t="str">
            <v>CS47O</v>
          </cell>
          <cell r="C257">
            <v>1662.8371232899999</v>
          </cell>
          <cell r="D257">
            <v>1660.26561221</v>
          </cell>
          <cell r="E257">
            <v>1670.1852900199999</v>
          </cell>
          <cell r="F257">
            <v>1663.68814649</v>
          </cell>
          <cell r="G257"/>
          <cell r="H257"/>
          <cell r="I257"/>
          <cell r="J257"/>
          <cell r="K257"/>
        </row>
        <row r="258">
          <cell r="B258" t="str">
            <v>ZZC1O</v>
          </cell>
          <cell r="C258">
            <v>1606.3802394100001</v>
          </cell>
          <cell r="D258">
            <v>1595.43107794</v>
          </cell>
          <cell r="E258">
            <v>1604.93565302</v>
          </cell>
          <cell r="F258">
            <v>1598.4511114500001</v>
          </cell>
          <cell r="G258"/>
          <cell r="H258"/>
          <cell r="I258"/>
          <cell r="J258"/>
          <cell r="K258"/>
        </row>
        <row r="259">
          <cell r="B259" t="str">
            <v>BVCUO</v>
          </cell>
          <cell r="C259">
            <v>1565.8532901000001</v>
          </cell>
          <cell r="D259">
            <v>1557.5701436100001</v>
          </cell>
          <cell r="E259">
            <v>1566.9103596499999</v>
          </cell>
          <cell r="F259">
            <v>1560.2462120800001</v>
          </cell>
          <cell r="G259"/>
          <cell r="H259"/>
          <cell r="I259"/>
          <cell r="J259"/>
          <cell r="K259"/>
        </row>
        <row r="260">
          <cell r="B260" t="str">
            <v>JNC6O</v>
          </cell>
          <cell r="C260">
            <v>1595.0245514799999</v>
          </cell>
          <cell r="D260">
            <v>1592.83003749</v>
          </cell>
          <cell r="E260">
            <v>1602.4084104200001</v>
          </cell>
          <cell r="F260">
            <v>1592.2512188799999</v>
          </cell>
          <cell r="G260"/>
          <cell r="H260"/>
          <cell r="I260"/>
          <cell r="J260"/>
          <cell r="K260"/>
        </row>
        <row r="261">
          <cell r="B261" t="str">
            <v>HVS1O</v>
          </cell>
          <cell r="C261">
            <v>1583.1548796899999</v>
          </cell>
          <cell r="D261">
            <v>1588.9522980199999</v>
          </cell>
          <cell r="E261">
            <v>1598.5518710900001</v>
          </cell>
          <cell r="F261">
            <v>1583.5708664000001</v>
          </cell>
          <cell r="G261"/>
          <cell r="H261"/>
          <cell r="I261"/>
          <cell r="J261"/>
          <cell r="K261"/>
        </row>
        <row r="262">
          <cell r="B262" t="str">
            <v>TGCHO</v>
          </cell>
          <cell r="C262">
            <v>9.9999999999999995E-8</v>
          </cell>
          <cell r="D262">
            <v>9.9999999999999995E-8</v>
          </cell>
          <cell r="E262">
            <v>9.9999999999999995E-8</v>
          </cell>
          <cell r="F262">
            <v>9.9999999999999995E-8</v>
          </cell>
          <cell r="G262"/>
          <cell r="H262"/>
          <cell r="I262"/>
          <cell r="J262"/>
          <cell r="K262"/>
        </row>
        <row r="263"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 t="str">
            <v>Obligaciones Negociables Hard USD - LE</v>
          </cell>
          <cell r="C264"/>
          <cell r="D264"/>
          <cell r="E264"/>
          <cell r="F264"/>
          <cell r="G264"/>
          <cell r="H264"/>
          <cell r="I264"/>
          <cell r="J264"/>
          <cell r="K264"/>
        </row>
        <row r="265">
          <cell r="B265"/>
          <cell r="C265"/>
          <cell r="D265"/>
          <cell r="E265"/>
          <cell r="F265"/>
          <cell r="G265"/>
          <cell r="H265"/>
          <cell r="I265"/>
          <cell r="J265"/>
          <cell r="K265"/>
        </row>
        <row r="266">
          <cell r="B266" t="str">
            <v>PNDCD</v>
          </cell>
          <cell r="C266">
            <v>0.43012338</v>
          </cell>
          <cell r="D266">
            <v>0.43049567999999999</v>
          </cell>
          <cell r="E266">
            <v>0.42902203</v>
          </cell>
          <cell r="F266">
            <v>0.21038124</v>
          </cell>
          <cell r="G266"/>
          <cell r="H266"/>
          <cell r="I266"/>
          <cell r="J266"/>
          <cell r="K266"/>
        </row>
        <row r="267">
          <cell r="B267" t="str">
            <v>YCAMD</v>
          </cell>
          <cell r="C267">
            <v>1.07981456</v>
          </cell>
          <cell r="D267">
            <v>1.08137068</v>
          </cell>
          <cell r="E267">
            <v>1.07311176</v>
          </cell>
          <cell r="F267">
            <v>1.0708475399999999</v>
          </cell>
          <cell r="G267"/>
          <cell r="H267"/>
          <cell r="I267"/>
          <cell r="J267"/>
          <cell r="K267"/>
        </row>
        <row r="268">
          <cell r="B268" t="str">
            <v>AER4D</v>
          </cell>
          <cell r="C268">
            <v>0.77523542000000001</v>
          </cell>
          <cell r="D268">
            <v>0.77281513000000002</v>
          </cell>
          <cell r="E268">
            <v>0.76891164000000001</v>
          </cell>
          <cell r="F268">
            <v>0.76717502999999998</v>
          </cell>
          <cell r="G268"/>
          <cell r="H268"/>
          <cell r="I268"/>
          <cell r="J268"/>
          <cell r="K268"/>
        </row>
        <row r="269">
          <cell r="B269" t="str">
            <v>YMCID</v>
          </cell>
          <cell r="C269">
            <v>0.96476861999999997</v>
          </cell>
          <cell r="D269">
            <v>0.96855904999999998</v>
          </cell>
          <cell r="E269">
            <v>0.95958423000000004</v>
          </cell>
          <cell r="F269">
            <v>0.95853838000000002</v>
          </cell>
          <cell r="G269"/>
          <cell r="H269"/>
          <cell r="I269"/>
          <cell r="J269"/>
          <cell r="K269"/>
        </row>
        <row r="270">
          <cell r="B270" t="str">
            <v>BYCHD</v>
          </cell>
          <cell r="C270">
            <v>1.09535418</v>
          </cell>
          <cell r="D270">
            <v>1.0890287097997899</v>
          </cell>
          <cell r="E270">
            <v>1.0840079899999999</v>
          </cell>
          <cell r="F270">
            <v>1.0811010599999999</v>
          </cell>
          <cell r="G270"/>
          <cell r="H270"/>
          <cell r="I270"/>
          <cell r="J270"/>
          <cell r="K270"/>
        </row>
        <row r="271">
          <cell r="B271" t="str">
            <v>YMCUD</v>
          </cell>
          <cell r="C271">
            <v>1.0231996000000001</v>
          </cell>
          <cell r="D271">
            <v>1.0163964700000001</v>
          </cell>
          <cell r="E271">
            <v>1.01380308</v>
          </cell>
          <cell r="F271">
            <v>1.01158131</v>
          </cell>
          <cell r="G271"/>
          <cell r="H271"/>
          <cell r="I271"/>
          <cell r="J271"/>
          <cell r="K271"/>
        </row>
        <row r="272">
          <cell r="B272" t="str">
            <v>YMC1D</v>
          </cell>
          <cell r="C272">
            <v>1.1339406000000001</v>
          </cell>
          <cell r="D272">
            <v>1.1229431700000001</v>
          </cell>
          <cell r="E272">
            <v>1.12156389</v>
          </cell>
          <cell r="F272">
            <v>1.1188317800000001</v>
          </cell>
          <cell r="G272"/>
          <cell r="H272"/>
          <cell r="I272"/>
          <cell r="J272"/>
          <cell r="K272"/>
        </row>
        <row r="273">
          <cell r="B273" t="str">
            <v>ARC1D</v>
          </cell>
          <cell r="C273">
            <v>1.08828737</v>
          </cell>
          <cell r="D273">
            <v>1.0786322500000001</v>
          </cell>
          <cell r="E273">
            <v>1.0774587900000001</v>
          </cell>
          <cell r="F273">
            <v>1.0782464199999999</v>
          </cell>
          <cell r="G273"/>
          <cell r="H273"/>
          <cell r="I273"/>
          <cell r="J273"/>
          <cell r="K273"/>
        </row>
        <row r="274">
          <cell r="B274" t="str">
            <v>TTCDD</v>
          </cell>
          <cell r="C274">
            <v>1.0905</v>
          </cell>
          <cell r="D274">
            <v>1.08699715</v>
          </cell>
          <cell r="E274">
            <v>1.0830203700000001</v>
          </cell>
          <cell r="F274">
            <v>1.08102561</v>
          </cell>
          <cell r="G274"/>
          <cell r="H274"/>
          <cell r="I274"/>
          <cell r="J274"/>
          <cell r="K274"/>
        </row>
        <row r="275">
          <cell r="B275" t="str">
            <v>YMCXD</v>
          </cell>
          <cell r="C275">
            <v>1.1012025999999999</v>
          </cell>
          <cell r="D275">
            <v>1.1009637699999999</v>
          </cell>
          <cell r="E275">
            <v>1.0980568100000001</v>
          </cell>
          <cell r="F275">
            <v>1.0875311400000001</v>
          </cell>
          <cell r="G275"/>
          <cell r="H275"/>
          <cell r="I275"/>
          <cell r="J275"/>
          <cell r="K275"/>
        </row>
        <row r="276">
          <cell r="B276" t="str">
            <v>PNXCD</v>
          </cell>
          <cell r="C276">
            <v>1.1338015699999999</v>
          </cell>
          <cell r="D276">
            <v>1.11801836</v>
          </cell>
          <cell r="E276">
            <v>1.1211612500000001</v>
          </cell>
          <cell r="F276">
            <v>1.0764713299999999</v>
          </cell>
          <cell r="G276"/>
          <cell r="H276"/>
          <cell r="I276"/>
          <cell r="J276"/>
          <cell r="K276"/>
        </row>
        <row r="277">
          <cell r="B277" t="str">
            <v>PLC5D</v>
          </cell>
          <cell r="C277">
            <v>1.09561018</v>
          </cell>
          <cell r="D277">
            <v>1.0935236800000001</v>
          </cell>
          <cell r="E277">
            <v>1.0905285899999999</v>
          </cell>
          <cell r="F277">
            <v>1.08797035</v>
          </cell>
          <cell r="G277"/>
          <cell r="H277"/>
          <cell r="I277"/>
          <cell r="J277"/>
          <cell r="K277"/>
        </row>
        <row r="278">
          <cell r="B278" t="str">
            <v>TSC3D</v>
          </cell>
          <cell r="C278">
            <v>1.1100000000000001</v>
          </cell>
          <cell r="D278">
            <v>1.0954453799999999</v>
          </cell>
          <cell r="E278">
            <v>1.09929477</v>
          </cell>
          <cell r="F278">
            <v>1.09917149</v>
          </cell>
          <cell r="G278"/>
          <cell r="H278"/>
          <cell r="I278"/>
          <cell r="J278"/>
          <cell r="K278"/>
        </row>
        <row r="279">
          <cell r="B279" t="str">
            <v>YFCJD</v>
          </cell>
          <cell r="C279">
            <v>1.0492001500000001</v>
          </cell>
          <cell r="D279">
            <v>1.05868031</v>
          </cell>
          <cell r="E279">
            <v>1.05172172</v>
          </cell>
          <cell r="F279">
            <v>1.0496679</v>
          </cell>
          <cell r="G279"/>
          <cell r="H279"/>
          <cell r="I279"/>
          <cell r="J279"/>
          <cell r="K279"/>
        </row>
        <row r="280">
          <cell r="B280" t="str">
            <v>MGCMD</v>
          </cell>
          <cell r="C280">
            <v>1.0756212000000001</v>
          </cell>
          <cell r="D280">
            <v>1.0827392300000001</v>
          </cell>
          <cell r="E280">
            <v>1.0765</v>
          </cell>
          <cell r="F280">
            <v>1.075</v>
          </cell>
          <cell r="G280"/>
          <cell r="H280"/>
          <cell r="I280"/>
          <cell r="J280"/>
          <cell r="K280"/>
        </row>
        <row r="281">
          <cell r="B281" t="str">
            <v>TTCAD</v>
          </cell>
          <cell r="C281">
            <v>1.0569999999999999</v>
          </cell>
          <cell r="D281">
            <v>1.04906853</v>
          </cell>
          <cell r="E281">
            <v>1.0449219300000001</v>
          </cell>
          <cell r="F281">
            <v>1.0425</v>
          </cell>
          <cell r="G281"/>
          <cell r="H281"/>
          <cell r="I281"/>
          <cell r="J281"/>
          <cell r="K281"/>
        </row>
        <row r="282">
          <cell r="B282" t="str">
            <v>PLC4D</v>
          </cell>
          <cell r="C282">
            <v>1.1103269200000001</v>
          </cell>
          <cell r="D282">
            <v>1.1109782500000001</v>
          </cell>
          <cell r="E282">
            <v>1.1021971399999999</v>
          </cell>
          <cell r="F282">
            <v>1.1062670699999999</v>
          </cell>
          <cell r="G282"/>
          <cell r="H282"/>
          <cell r="I282"/>
          <cell r="J282"/>
          <cell r="K282"/>
        </row>
        <row r="283">
          <cell r="B283" t="str">
            <v>VSCVD</v>
          </cell>
          <cell r="C283">
            <v>1.11612241</v>
          </cell>
          <cell r="D283">
            <v>1.1085</v>
          </cell>
          <cell r="E283">
            <v>1.1008772099999999</v>
          </cell>
          <cell r="F283">
            <v>1.10221426</v>
          </cell>
          <cell r="G283"/>
          <cell r="H283"/>
          <cell r="I283"/>
          <cell r="J283"/>
          <cell r="K283"/>
        </row>
        <row r="284">
          <cell r="B284" t="str">
            <v>YM34D</v>
          </cell>
          <cell r="C284">
            <v>1.09652003</v>
          </cell>
          <cell r="D284">
            <v>1.0904818199999999</v>
          </cell>
          <cell r="E284">
            <v>1.08610457</v>
          </cell>
          <cell r="F284">
            <v>1.0854186400000001</v>
          </cell>
          <cell r="G284"/>
          <cell r="H284"/>
          <cell r="I284"/>
          <cell r="J284"/>
          <cell r="K284"/>
        </row>
        <row r="285">
          <cell r="B285" t="str">
            <v>YMCJD</v>
          </cell>
          <cell r="C285">
            <v>1.0211821800000001</v>
          </cell>
          <cell r="D285">
            <v>1.02188777</v>
          </cell>
          <cell r="E285">
            <v>1.0200792000000001</v>
          </cell>
          <cell r="F285">
            <v>1.01162207</v>
          </cell>
          <cell r="G285"/>
          <cell r="H285"/>
          <cell r="I285"/>
          <cell r="J285"/>
          <cell r="K285"/>
        </row>
        <row r="286">
          <cell r="B286" t="str">
            <v>CAC5D</v>
          </cell>
          <cell r="C286">
            <v>0.54844546000000005</v>
          </cell>
          <cell r="D286">
            <v>0.54857454000000005</v>
          </cell>
          <cell r="E286">
            <v>0.54495141999999996</v>
          </cell>
          <cell r="F286">
            <v>0.54368278000000003</v>
          </cell>
          <cell r="G286"/>
          <cell r="H286"/>
          <cell r="I286"/>
          <cell r="J286"/>
          <cell r="K286"/>
        </row>
        <row r="287">
          <cell r="B287" t="str">
            <v>TLCMD</v>
          </cell>
          <cell r="C287">
            <v>1.1255489700000001</v>
          </cell>
          <cell r="D287">
            <v>1.1165014499999999</v>
          </cell>
          <cell r="E287">
            <v>1.11745768</v>
          </cell>
          <cell r="F287">
            <v>1.1095465799999999</v>
          </cell>
          <cell r="G287"/>
          <cell r="H287"/>
          <cell r="I287"/>
          <cell r="J287"/>
          <cell r="K287"/>
        </row>
        <row r="288">
          <cell r="B288" t="str">
            <v>TLCPD</v>
          </cell>
          <cell r="C288">
            <v>1.1187099</v>
          </cell>
          <cell r="D288">
            <v>1.11569071</v>
          </cell>
          <cell r="E288">
            <v>1.1091845</v>
          </cell>
          <cell r="F288">
            <v>1.10853651</v>
          </cell>
          <cell r="G288"/>
          <cell r="H288"/>
          <cell r="I288"/>
          <cell r="J288"/>
          <cell r="K288"/>
        </row>
        <row r="289">
          <cell r="B289" t="str">
            <v>AEC2D</v>
          </cell>
          <cell r="C289">
            <v>0.53138790000000002</v>
          </cell>
          <cell r="D289">
            <v>0.53205670000000005</v>
          </cell>
          <cell r="E289">
            <v>0.52853099999999997</v>
          </cell>
          <cell r="F289">
            <v>0.52773992999999997</v>
          </cell>
          <cell r="G289"/>
          <cell r="H289"/>
          <cell r="I289"/>
          <cell r="J289"/>
          <cell r="K289"/>
        </row>
        <row r="290"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 t="str">
            <v>Obligaciones Negociables Hard USD - LE - Contra $</v>
          </cell>
          <cell r="C291"/>
          <cell r="D291"/>
          <cell r="E291"/>
          <cell r="F291"/>
          <cell r="G291"/>
          <cell r="H291"/>
          <cell r="I291"/>
          <cell r="J291"/>
          <cell r="K291"/>
        </row>
        <row r="292"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</row>
        <row r="293">
          <cell r="B293" t="str">
            <v>PNDCO</v>
          </cell>
          <cell r="C293">
            <v>707.68466656999999</v>
          </cell>
          <cell r="D293">
            <v>696.00204865000001</v>
          </cell>
          <cell r="E293">
            <v>698.77824333000001</v>
          </cell>
          <cell r="F293">
            <v>333.58005665000002</v>
          </cell>
          <cell r="G293"/>
          <cell r="H293"/>
          <cell r="I293"/>
          <cell r="J293"/>
          <cell r="K293"/>
        </row>
        <row r="294">
          <cell r="B294" t="str">
            <v>YCAMO</v>
          </cell>
          <cell r="C294">
            <v>1717.2777503100001</v>
          </cell>
          <cell r="D294">
            <v>1688.5934474799999</v>
          </cell>
          <cell r="E294">
            <v>1693.49758365</v>
          </cell>
          <cell r="F294">
            <v>1681.3998223999999</v>
          </cell>
          <cell r="G294"/>
          <cell r="H294"/>
          <cell r="I294"/>
          <cell r="J294"/>
          <cell r="K294"/>
        </row>
        <row r="295">
          <cell r="B295" t="str">
            <v>AER4O</v>
          </cell>
          <cell r="C295">
            <v>1223.93075649</v>
          </cell>
          <cell r="D295">
            <v>1202.89236544</v>
          </cell>
          <cell r="E295">
            <v>1206.17202664</v>
          </cell>
          <cell r="F295">
            <v>1197.79327132</v>
          </cell>
          <cell r="G295"/>
          <cell r="H295"/>
          <cell r="I295"/>
          <cell r="J295"/>
          <cell r="K295"/>
        </row>
        <row r="296">
          <cell r="B296" t="str">
            <v>YMCIO</v>
          </cell>
          <cell r="C296">
            <v>1516.8206442400001</v>
          </cell>
          <cell r="D296">
            <v>1503.41770251</v>
          </cell>
          <cell r="E296">
            <v>1505.9725035500001</v>
          </cell>
          <cell r="F296">
            <v>1498.45806176</v>
          </cell>
          <cell r="G296"/>
          <cell r="H296"/>
          <cell r="I296"/>
          <cell r="J296"/>
          <cell r="K296"/>
        </row>
        <row r="297">
          <cell r="B297" t="str">
            <v>BYCHO</v>
          </cell>
          <cell r="C297">
            <v>1705.00346786</v>
          </cell>
          <cell r="D297">
            <v>1675.06917957</v>
          </cell>
          <cell r="E297">
            <v>1678.9196166300001</v>
          </cell>
          <cell r="F297">
            <v>1667.7326287799999</v>
          </cell>
          <cell r="G297"/>
          <cell r="H297"/>
          <cell r="I297"/>
          <cell r="J297"/>
          <cell r="K297"/>
        </row>
        <row r="298">
          <cell r="B298" t="str">
            <v>YMCUO</v>
          </cell>
          <cell r="C298">
            <v>1573.42487291</v>
          </cell>
          <cell r="D298">
            <v>1583.32201123</v>
          </cell>
          <cell r="E298">
            <v>1610.00867971</v>
          </cell>
          <cell r="F298">
            <v>1585.2526467</v>
          </cell>
          <cell r="G298"/>
          <cell r="H298"/>
          <cell r="I298"/>
          <cell r="J298"/>
          <cell r="K298"/>
        </row>
        <row r="299">
          <cell r="B299" t="str">
            <v>YMC1O</v>
          </cell>
          <cell r="C299">
            <v>1772.52088314</v>
          </cell>
          <cell r="D299">
            <v>1740.7574268799999</v>
          </cell>
          <cell r="E299">
            <v>1745.2029252100001</v>
          </cell>
          <cell r="F299">
            <v>1733.4858117399999</v>
          </cell>
          <cell r="G299"/>
          <cell r="H299"/>
          <cell r="I299"/>
          <cell r="J299"/>
          <cell r="K299"/>
        </row>
        <row r="300">
          <cell r="B300" t="str">
            <v>ARC1O</v>
          </cell>
          <cell r="C300">
            <v>1714.39664859</v>
          </cell>
          <cell r="D300">
            <v>1683.87159651</v>
          </cell>
          <cell r="E300">
            <v>1688.7713561400001</v>
          </cell>
          <cell r="F300">
            <v>1677.0627917500001</v>
          </cell>
          <cell r="G300"/>
          <cell r="H300"/>
          <cell r="I300"/>
          <cell r="J300"/>
          <cell r="K300"/>
        </row>
        <row r="301">
          <cell r="B301" t="str">
            <v>TTCDO</v>
          </cell>
          <cell r="C301">
            <v>1716</v>
          </cell>
          <cell r="D301">
            <v>1693.5182051899999</v>
          </cell>
          <cell r="E301">
            <v>1719.8</v>
          </cell>
          <cell r="F301">
            <v>1691.33677831</v>
          </cell>
          <cell r="G301"/>
          <cell r="H301"/>
          <cell r="I301"/>
          <cell r="J301"/>
          <cell r="K301"/>
        </row>
        <row r="302">
          <cell r="B302" t="str">
            <v>YMCXO</v>
          </cell>
          <cell r="C302">
            <v>1738.36738917</v>
          </cell>
          <cell r="D302">
            <v>1705.7120496099999</v>
          </cell>
          <cell r="E302">
            <v>1717.2799855799999</v>
          </cell>
          <cell r="F302">
            <v>1698.2067790200001</v>
          </cell>
          <cell r="G302"/>
          <cell r="H302"/>
          <cell r="I302"/>
          <cell r="J302"/>
          <cell r="K302"/>
        </row>
        <row r="303">
          <cell r="B303" t="str">
            <v>PNXCO</v>
          </cell>
          <cell r="C303">
            <v>1791.28808888</v>
          </cell>
          <cell r="D303">
            <v>1758.4237722</v>
          </cell>
          <cell r="E303">
            <v>1764.4388808599999</v>
          </cell>
          <cell r="F303">
            <v>1681.79158542</v>
          </cell>
          <cell r="G303"/>
          <cell r="H303"/>
          <cell r="I303"/>
          <cell r="J303"/>
          <cell r="K303"/>
        </row>
        <row r="304">
          <cell r="B304" t="str">
            <v>PLC5O</v>
          </cell>
          <cell r="C304">
            <v>1738.2125127300001</v>
          </cell>
          <cell r="D304">
            <v>1707.4155003000001</v>
          </cell>
          <cell r="E304">
            <v>1731.3658932799999</v>
          </cell>
          <cell r="F304">
            <v>1698.0399054899999</v>
          </cell>
          <cell r="G304"/>
          <cell r="H304"/>
          <cell r="I304"/>
          <cell r="J304"/>
          <cell r="K304"/>
        </row>
        <row r="305">
          <cell r="B305" t="str">
            <v>TSC3O</v>
          </cell>
          <cell r="C305">
            <v>1757.2663322599999</v>
          </cell>
          <cell r="D305">
            <v>1727.9339134700001</v>
          </cell>
          <cell r="E305">
            <v>1736.6</v>
          </cell>
          <cell r="F305">
            <v>1718.49623821</v>
          </cell>
          <cell r="G305"/>
          <cell r="H305"/>
          <cell r="I305"/>
          <cell r="J305"/>
          <cell r="K305"/>
        </row>
        <row r="306">
          <cell r="B306" t="str">
            <v>YFCJO</v>
          </cell>
          <cell r="C306">
            <v>1636.67124911</v>
          </cell>
          <cell r="D306">
            <v>1648.86344033</v>
          </cell>
          <cell r="E306">
            <v>1654.8007153000001</v>
          </cell>
          <cell r="F306">
            <v>1642.84030461</v>
          </cell>
          <cell r="G306"/>
          <cell r="H306"/>
          <cell r="I306"/>
          <cell r="J306"/>
          <cell r="K306"/>
        </row>
        <row r="307">
          <cell r="B307" t="str">
            <v>MGCMO</v>
          </cell>
          <cell r="C307">
            <v>1720</v>
          </cell>
          <cell r="D307">
            <v>1699.8</v>
          </cell>
          <cell r="E307">
            <v>1686.2</v>
          </cell>
          <cell r="F307">
            <v>1662.2325616999999</v>
          </cell>
          <cell r="G307"/>
          <cell r="H307"/>
          <cell r="I307"/>
          <cell r="J307"/>
          <cell r="K307"/>
        </row>
        <row r="308">
          <cell r="B308" t="str">
            <v>TTCAO</v>
          </cell>
          <cell r="C308">
            <v>1664.5451309499999</v>
          </cell>
          <cell r="D308">
            <v>1634</v>
          </cell>
          <cell r="E308">
            <v>1614.64668117</v>
          </cell>
          <cell r="F308">
            <v>1603.6390050699999</v>
          </cell>
          <cell r="G308"/>
          <cell r="H308"/>
          <cell r="I308"/>
          <cell r="J308"/>
          <cell r="K308"/>
        </row>
        <row r="309">
          <cell r="B309" t="str">
            <v>PLC4O</v>
          </cell>
          <cell r="C309">
            <v>1745.1227633799999</v>
          </cell>
          <cell r="D309">
            <v>1720.1541381</v>
          </cell>
          <cell r="E309">
            <v>1747.7978731799999</v>
          </cell>
          <cell r="F309">
            <v>1730.2496018899999</v>
          </cell>
          <cell r="G309"/>
          <cell r="H309"/>
          <cell r="I309"/>
          <cell r="J309"/>
          <cell r="K309"/>
        </row>
        <row r="310">
          <cell r="B310" t="str">
            <v>VSCVO</v>
          </cell>
          <cell r="C310">
            <v>1761.3792990300001</v>
          </cell>
          <cell r="D310">
            <v>1736.7815661</v>
          </cell>
          <cell r="E310">
            <v>1740.3671492799999</v>
          </cell>
          <cell r="F310">
            <v>1731.40685676</v>
          </cell>
          <cell r="G310"/>
          <cell r="H310"/>
          <cell r="I310"/>
          <cell r="J310"/>
          <cell r="K310"/>
        </row>
        <row r="311">
          <cell r="B311" t="str">
            <v>YM34O</v>
          </cell>
          <cell r="C311">
            <v>1723.05750913</v>
          </cell>
          <cell r="D311">
            <v>1692.32616644</v>
          </cell>
          <cell r="E311">
            <v>1706.1232724199999</v>
          </cell>
          <cell r="F311">
            <v>1698.2094014300001</v>
          </cell>
          <cell r="G311"/>
          <cell r="H311"/>
          <cell r="I311"/>
          <cell r="J311"/>
          <cell r="K311"/>
        </row>
        <row r="312">
          <cell r="B312" t="str">
            <v>YMCJO</v>
          </cell>
          <cell r="C312">
            <v>1603.3775420500001</v>
          </cell>
          <cell r="D312">
            <v>1596.0196141199999</v>
          </cell>
          <cell r="E312">
            <v>1603.2317615300001</v>
          </cell>
          <cell r="F312">
            <v>1581.1534231999999</v>
          </cell>
          <cell r="G312"/>
          <cell r="H312"/>
          <cell r="I312"/>
          <cell r="J312"/>
          <cell r="K312"/>
        </row>
        <row r="313">
          <cell r="B313" t="str">
            <v>CAC5O</v>
          </cell>
          <cell r="C313">
            <v>867.91522542999996</v>
          </cell>
          <cell r="D313">
            <v>853.32987609999998</v>
          </cell>
          <cell r="E313">
            <v>855.75419624999995</v>
          </cell>
          <cell r="F313">
            <v>849.74537461</v>
          </cell>
          <cell r="G313"/>
          <cell r="H313"/>
          <cell r="I313"/>
          <cell r="J313"/>
          <cell r="K313"/>
        </row>
        <row r="314">
          <cell r="B314" t="str">
            <v>TLCMO</v>
          </cell>
          <cell r="C314">
            <v>1763.97478456</v>
          </cell>
          <cell r="D314">
            <v>1739.25667987</v>
          </cell>
          <cell r="E314">
            <v>1739.8011028599999</v>
          </cell>
          <cell r="F314">
            <v>1734.0783697700001</v>
          </cell>
          <cell r="G314"/>
          <cell r="H314"/>
          <cell r="I314"/>
          <cell r="J314"/>
          <cell r="K314"/>
        </row>
        <row r="315">
          <cell r="B315" t="str">
            <v>TLCPO</v>
          </cell>
          <cell r="C315">
            <v>1753.49123738</v>
          </cell>
          <cell r="D315">
            <v>1768.90640949</v>
          </cell>
          <cell r="E315">
            <v>1749.70647459</v>
          </cell>
          <cell r="F315">
            <v>1762.81873432</v>
          </cell>
          <cell r="G315"/>
          <cell r="H315"/>
          <cell r="I315"/>
          <cell r="J315"/>
          <cell r="K315"/>
        </row>
        <row r="316">
          <cell r="B316" t="str">
            <v>AEC2O</v>
          </cell>
          <cell r="C316">
            <v>852.51601225000002</v>
          </cell>
          <cell r="D316">
            <v>838.25392394000005</v>
          </cell>
          <cell r="E316">
            <v>841.11886262999997</v>
          </cell>
          <cell r="F316">
            <v>835.14199309000003</v>
          </cell>
          <cell r="G316"/>
          <cell r="H316"/>
          <cell r="I316"/>
          <cell r="J316"/>
          <cell r="K316"/>
        </row>
        <row r="317"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 t="str">
            <v>Obligaciones Negociables Dólar linked</v>
          </cell>
          <cell r="C318"/>
          <cell r="D318"/>
          <cell r="E318"/>
          <cell r="F318"/>
          <cell r="G318"/>
          <cell r="H318"/>
          <cell r="I318"/>
          <cell r="J318"/>
          <cell r="K318"/>
        </row>
        <row r="319"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</row>
        <row r="320">
          <cell r="B320" t="str">
            <v>GE22P</v>
          </cell>
          <cell r="C320">
            <v>526.46141843999999</v>
          </cell>
          <cell r="D320">
            <v>525.93975558</v>
          </cell>
          <cell r="E320">
            <v>525.91935736000005</v>
          </cell>
          <cell r="F320">
            <v>526.37280170999998</v>
          </cell>
          <cell r="G320"/>
          <cell r="H320"/>
          <cell r="I320"/>
          <cell r="J320"/>
          <cell r="K320"/>
        </row>
        <row r="321">
          <cell r="B321" t="str">
            <v>HA12L</v>
          </cell>
          <cell r="C321">
            <v>1549.53680145</v>
          </cell>
          <cell r="D321">
            <v>1552.76683929</v>
          </cell>
          <cell r="E321">
            <v>1556.72375422</v>
          </cell>
          <cell r="F321">
            <v>1561.0882760699999</v>
          </cell>
          <cell r="G321"/>
          <cell r="H321"/>
          <cell r="I321"/>
          <cell r="J321"/>
          <cell r="K321"/>
        </row>
        <row r="322">
          <cell r="B322" t="str">
            <v>APS1L</v>
          </cell>
          <cell r="C322">
            <v>1558.2230448299999</v>
          </cell>
          <cell r="D322">
            <v>1556.7206898899999</v>
          </cell>
          <cell r="E322">
            <v>1556.7020516699999</v>
          </cell>
          <cell r="F322">
            <v>1558.0860790700001</v>
          </cell>
          <cell r="G322"/>
          <cell r="H322"/>
          <cell r="I322"/>
          <cell r="J322"/>
          <cell r="K322"/>
        </row>
        <row r="323">
          <cell r="B323" t="str">
            <v>GN37O</v>
          </cell>
          <cell r="C323">
            <v>512.92876188000002</v>
          </cell>
          <cell r="D323">
            <v>512.39624775000004</v>
          </cell>
          <cell r="E323">
            <v>512.35210273999996</v>
          </cell>
          <cell r="F323">
            <v>512.76954401</v>
          </cell>
          <cell r="G323"/>
          <cell r="H323"/>
          <cell r="I323"/>
          <cell r="J323"/>
          <cell r="K323"/>
        </row>
        <row r="324">
          <cell r="B324" t="str">
            <v>VSCIO</v>
          </cell>
          <cell r="C324">
            <v>1534.61013185</v>
          </cell>
          <cell r="D324">
            <v>1533.02371743</v>
          </cell>
          <cell r="E324">
            <v>1532.8984448900001</v>
          </cell>
          <cell r="F324">
            <v>1534.15420221</v>
          </cell>
          <cell r="G324"/>
          <cell r="H324"/>
          <cell r="I324"/>
          <cell r="J324"/>
          <cell r="K324"/>
        </row>
        <row r="325">
          <cell r="B325" t="str">
            <v>PNJCO</v>
          </cell>
          <cell r="C325">
            <v>1535.2959672500001</v>
          </cell>
          <cell r="D325">
            <v>1533.7224780900001</v>
          </cell>
          <cell r="E325">
            <v>1533.6108055899999</v>
          </cell>
          <cell r="F325">
            <v>1534.8808388499999</v>
          </cell>
          <cell r="G325"/>
          <cell r="H325"/>
          <cell r="I325"/>
          <cell r="J325"/>
          <cell r="K325"/>
        </row>
        <row r="326">
          <cell r="B326" t="str">
            <v>VSCJO</v>
          </cell>
          <cell r="C326">
            <v>1521.9927974300001</v>
          </cell>
          <cell r="D326">
            <v>1520.4377643099999</v>
          </cell>
          <cell r="E326">
            <v>1520.33188913</v>
          </cell>
          <cell r="F326">
            <v>1521.59576821</v>
          </cell>
          <cell r="G326"/>
          <cell r="H326"/>
          <cell r="I326"/>
          <cell r="J326"/>
          <cell r="K326"/>
        </row>
        <row r="327">
          <cell r="B327" t="str">
            <v>TLCDO</v>
          </cell>
          <cell r="C327">
            <v>1528.61478278</v>
          </cell>
          <cell r="D327">
            <v>1527.0541496200001</v>
          </cell>
          <cell r="E327">
            <v>1526.9489813800001</v>
          </cell>
          <cell r="F327">
            <v>1528.2195320599999</v>
          </cell>
          <cell r="G327"/>
          <cell r="H327"/>
          <cell r="I327"/>
          <cell r="J327"/>
          <cell r="K327"/>
        </row>
        <row r="328">
          <cell r="B328" t="str">
            <v>PNZCO</v>
          </cell>
          <cell r="C328">
            <v>1501.0290626999999</v>
          </cell>
          <cell r="D328">
            <v>1499.51772611</v>
          </cell>
          <cell r="E328">
            <v>1499.43562322</v>
          </cell>
          <cell r="F328">
            <v>1500.7045044199999</v>
          </cell>
          <cell r="G328"/>
          <cell r="H328"/>
          <cell r="I328"/>
          <cell r="J328"/>
          <cell r="K328"/>
        </row>
        <row r="329">
          <cell r="B329" t="str">
            <v>OLC3O</v>
          </cell>
          <cell r="C329">
            <v>1509.2753</v>
          </cell>
          <cell r="D329">
            <v>1498.2662938000001</v>
          </cell>
          <cell r="E329">
            <v>1498.1853795100001</v>
          </cell>
          <cell r="F329">
            <v>1499.4543257099999</v>
          </cell>
          <cell r="G329"/>
          <cell r="H329"/>
          <cell r="I329"/>
          <cell r="J329"/>
          <cell r="K329"/>
        </row>
        <row r="330">
          <cell r="B330" t="str">
            <v>MGCEO</v>
          </cell>
          <cell r="C330">
            <v>1469.2964346900001</v>
          </cell>
          <cell r="D330">
            <v>1467.8399626800001</v>
          </cell>
          <cell r="E330">
            <v>1467.7825475899999</v>
          </cell>
          <cell r="F330">
            <v>1469.04765615</v>
          </cell>
          <cell r="G330"/>
          <cell r="H330"/>
          <cell r="I330"/>
          <cell r="J330"/>
          <cell r="K330"/>
        </row>
        <row r="331">
          <cell r="B331" t="str">
            <v>OLC2O</v>
          </cell>
          <cell r="C331">
            <v>1460.1653664800001</v>
          </cell>
          <cell r="D331">
            <v>1458.7346271500001</v>
          </cell>
          <cell r="E331">
            <v>1458.6942783899999</v>
          </cell>
          <cell r="F331">
            <v>1459.9683077899999</v>
          </cell>
          <cell r="G331"/>
          <cell r="H331"/>
          <cell r="I331"/>
          <cell r="J331"/>
          <cell r="K331"/>
        </row>
        <row r="332">
          <cell r="B332" t="str">
            <v>MR43O</v>
          </cell>
          <cell r="C332">
            <v>462.14253000000002</v>
          </cell>
          <cell r="D332">
            <v>461.6223</v>
          </cell>
          <cell r="E332">
            <v>461.54217</v>
          </cell>
          <cell r="F332">
            <v>461.87790000000001</v>
          </cell>
          <cell r="G332"/>
          <cell r="H332"/>
          <cell r="I332"/>
          <cell r="J332"/>
          <cell r="K332"/>
        </row>
        <row r="333">
          <cell r="B333" t="str">
            <v>DRSAO</v>
          </cell>
          <cell r="C333">
            <v>9.9999999999999995E-8</v>
          </cell>
          <cell r="D333">
            <v>9.9999999999999995E-8</v>
          </cell>
          <cell r="E333">
            <v>9.9999999999999995E-8</v>
          </cell>
          <cell r="F333">
            <v>9.9999999999999995E-8</v>
          </cell>
          <cell r="G333"/>
          <cell r="H333"/>
          <cell r="I333"/>
          <cell r="J333"/>
          <cell r="K333"/>
        </row>
        <row r="334"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 t="str">
            <v>Fideicomisos Financieros Tamar</v>
          </cell>
          <cell r="C335"/>
          <cell r="D335"/>
          <cell r="E335"/>
          <cell r="F335"/>
          <cell r="G335"/>
          <cell r="H335"/>
          <cell r="I335"/>
          <cell r="J335"/>
          <cell r="K335"/>
        </row>
        <row r="336">
          <cell r="B336"/>
          <cell r="C336"/>
          <cell r="D336"/>
          <cell r="E336"/>
          <cell r="F336"/>
          <cell r="G336"/>
          <cell r="H336"/>
          <cell r="I336"/>
          <cell r="J336"/>
          <cell r="K336"/>
        </row>
        <row r="337">
          <cell r="B337" t="str">
            <v>CO18A</v>
          </cell>
          <cell r="C337">
            <v>0.18479005000000001</v>
          </cell>
          <cell r="D337">
            <v>0.18492233999999999</v>
          </cell>
          <cell r="E337">
            <v>0.18501569000000001</v>
          </cell>
          <cell r="F337">
            <v>0.18514046000000001</v>
          </cell>
          <cell r="G337"/>
          <cell r="H337"/>
          <cell r="I337"/>
          <cell r="J337"/>
          <cell r="K337"/>
        </row>
        <row r="338">
          <cell r="B338" t="str">
            <v>CO17A</v>
          </cell>
          <cell r="C338">
            <v>0.20138434999999999</v>
          </cell>
          <cell r="D338">
            <v>0.20152853000000001</v>
          </cell>
          <cell r="E338">
            <v>0.20163026000000001</v>
          </cell>
          <cell r="F338">
            <v>0.20176622999999999</v>
          </cell>
          <cell r="G338"/>
          <cell r="H338"/>
          <cell r="I338"/>
          <cell r="J338"/>
          <cell r="K338"/>
        </row>
        <row r="339">
          <cell r="B339" t="str">
            <v>CO19A</v>
          </cell>
          <cell r="C339">
            <v>0.83204767000000002</v>
          </cell>
          <cell r="D339">
            <v>0.83272376999999997</v>
          </cell>
          <cell r="E339">
            <v>0.83325265999999998</v>
          </cell>
          <cell r="F339">
            <v>0.83385171999999996</v>
          </cell>
          <cell r="G339"/>
          <cell r="H339"/>
          <cell r="I339"/>
          <cell r="J339"/>
          <cell r="K339"/>
        </row>
        <row r="340">
          <cell r="B340" t="str">
            <v>CO20A</v>
          </cell>
          <cell r="C340">
            <v>1.01449729</v>
          </cell>
          <cell r="D340">
            <v>1.0153198800000001</v>
          </cell>
          <cell r="E340">
            <v>1.0160790200000001</v>
          </cell>
          <cell r="F340">
            <v>1.01683061</v>
          </cell>
          <cell r="G340"/>
          <cell r="H340"/>
          <cell r="I340"/>
          <cell r="J340"/>
          <cell r="K340"/>
        </row>
        <row r="341">
          <cell r="B341" t="str">
            <v>CF82A</v>
          </cell>
          <cell r="C341"/>
          <cell r="D341"/>
          <cell r="E341">
            <v>1.8828580000000001E-2</v>
          </cell>
          <cell r="F341">
            <v>1.8841179999999999E-2</v>
          </cell>
          <cell r="G341"/>
          <cell r="H341"/>
          <cell r="I341"/>
          <cell r="J341"/>
          <cell r="K341"/>
        </row>
        <row r="342">
          <cell r="B342" t="str">
            <v>M333A</v>
          </cell>
          <cell r="C342">
            <v>0.15156359999999999</v>
          </cell>
          <cell r="D342">
            <v>0.15167473000000001</v>
          </cell>
          <cell r="E342">
            <v>0.15174783999999999</v>
          </cell>
          <cell r="F342">
            <v>0.15184755</v>
          </cell>
          <cell r="G342"/>
          <cell r="H342"/>
          <cell r="I342"/>
          <cell r="J342"/>
          <cell r="K342"/>
        </row>
        <row r="343">
          <cell r="B343" t="str">
            <v>M331A</v>
          </cell>
          <cell r="C343">
            <v>5.528317E-2</v>
          </cell>
          <cell r="D343">
            <v>5.5323709999999998E-2</v>
          </cell>
          <cell r="E343">
            <v>5.5350370000000003E-2</v>
          </cell>
          <cell r="F343">
            <v>5.5386739999999997E-2</v>
          </cell>
          <cell r="G343"/>
          <cell r="H343"/>
          <cell r="I343"/>
          <cell r="J343"/>
          <cell r="K343"/>
        </row>
        <row r="344">
          <cell r="B344" t="str">
            <v>M329A</v>
          </cell>
          <cell r="C344">
            <v>2.2097169999999999E-2</v>
          </cell>
          <cell r="D344">
            <v>2.211337E-2</v>
          </cell>
          <cell r="E344">
            <v>2.2124029999999999E-2</v>
          </cell>
          <cell r="F344">
            <v>2.2138560000000002E-2</v>
          </cell>
          <cell r="G344"/>
          <cell r="H344"/>
          <cell r="I344"/>
          <cell r="J344"/>
          <cell r="K344"/>
        </row>
        <row r="345">
          <cell r="B345" t="str">
            <v>M322A</v>
          </cell>
          <cell r="C345">
            <v>4.3767630000000002E-2</v>
          </cell>
          <cell r="D345">
            <v>4.3800020000000002E-2</v>
          </cell>
          <cell r="E345">
            <v>4.3820329999999998E-2</v>
          </cell>
          <cell r="F345">
            <v>4.3848999999999999E-2</v>
          </cell>
          <cell r="G345"/>
          <cell r="H345"/>
          <cell r="I345"/>
          <cell r="J345"/>
          <cell r="K345"/>
        </row>
        <row r="346">
          <cell r="B346" t="str">
            <v>M320A</v>
          </cell>
          <cell r="C346">
            <v>9.1065999999999999E-4</v>
          </cell>
          <cell r="D346">
            <v>9.1133000000000002E-4</v>
          </cell>
          <cell r="E346">
            <v>9.1175000000000002E-4</v>
          </cell>
          <cell r="F346">
            <v>9.1235000000000003E-4</v>
          </cell>
          <cell r="G346"/>
          <cell r="H346"/>
          <cell r="I346"/>
          <cell r="J346"/>
          <cell r="K346"/>
        </row>
        <row r="347">
          <cell r="B347" t="str">
            <v>CF83A</v>
          </cell>
          <cell r="C347">
            <v>0.1827153</v>
          </cell>
          <cell r="D347">
            <v>0.18284764000000001</v>
          </cell>
          <cell r="E347">
            <v>0.18294041999999999</v>
          </cell>
          <cell r="F347">
            <v>0.18306127999999999</v>
          </cell>
          <cell r="G347"/>
          <cell r="H347"/>
          <cell r="I347"/>
          <cell r="J347"/>
          <cell r="K347"/>
        </row>
        <row r="348">
          <cell r="B348" t="str">
            <v>CU57A</v>
          </cell>
          <cell r="C348">
            <v>0.12023346</v>
          </cell>
          <cell r="D348">
            <v>0.12032065</v>
          </cell>
          <cell r="E348">
            <v>0.12038113</v>
          </cell>
          <cell r="F348">
            <v>0.12046068</v>
          </cell>
          <cell r="G348"/>
          <cell r="H348"/>
          <cell r="I348"/>
          <cell r="J348"/>
          <cell r="K348"/>
        </row>
        <row r="349">
          <cell r="B349" t="str">
            <v>CU58A</v>
          </cell>
          <cell r="C349">
            <v>0.20772785999999999</v>
          </cell>
          <cell r="D349">
            <v>0.20787958000000001</v>
          </cell>
          <cell r="E349">
            <v>0.20797850000000001</v>
          </cell>
          <cell r="F349">
            <v>0.20811605999999999</v>
          </cell>
          <cell r="G349"/>
          <cell r="H349"/>
          <cell r="I349"/>
          <cell r="J349"/>
          <cell r="K349"/>
        </row>
        <row r="350">
          <cell r="B350" t="str">
            <v>DT44A</v>
          </cell>
          <cell r="C350">
            <v>0.16199129000000001</v>
          </cell>
          <cell r="D350">
            <v>0.16210582000000001</v>
          </cell>
          <cell r="E350">
            <v>0.16219201</v>
          </cell>
          <cell r="F350">
            <v>0.16230205</v>
          </cell>
          <cell r="G350"/>
          <cell r="H350"/>
          <cell r="I350"/>
          <cell r="J350"/>
          <cell r="K350"/>
        </row>
        <row r="351">
          <cell r="B351" t="str">
            <v>DT45A</v>
          </cell>
          <cell r="C351">
            <v>0.26809778000000001</v>
          </cell>
          <cell r="D351">
            <v>0.26828919000000001</v>
          </cell>
          <cell r="E351">
            <v>0.2684204</v>
          </cell>
          <cell r="F351">
            <v>0.26860288999999998</v>
          </cell>
          <cell r="G351"/>
          <cell r="H351"/>
          <cell r="I351"/>
          <cell r="J351"/>
          <cell r="K351"/>
        </row>
        <row r="352">
          <cell r="B352" t="str">
            <v>CU59A</v>
          </cell>
          <cell r="C352">
            <v>0.41327989999999998</v>
          </cell>
          <cell r="D352">
            <v>0.41358752999999998</v>
          </cell>
          <cell r="E352">
            <v>0.41375838999999998</v>
          </cell>
          <cell r="F352">
            <v>0.41403303000000002</v>
          </cell>
          <cell r="G352"/>
          <cell r="H352"/>
          <cell r="I352"/>
          <cell r="J352"/>
          <cell r="K352"/>
        </row>
        <row r="353">
          <cell r="B353" t="str">
            <v>M341A</v>
          </cell>
          <cell r="C353">
            <v>0.16118452999999999</v>
          </cell>
          <cell r="D353">
            <v>0.1613018</v>
          </cell>
          <cell r="E353">
            <v>0.16136687</v>
          </cell>
          <cell r="F353">
            <v>0.16147754</v>
          </cell>
          <cell r="G353"/>
          <cell r="H353"/>
          <cell r="I353"/>
          <cell r="J353"/>
          <cell r="K353"/>
        </row>
        <row r="354">
          <cell r="B354" t="str">
            <v>C200A</v>
          </cell>
          <cell r="C354">
            <v>0.22908043</v>
          </cell>
          <cell r="D354">
            <v>0.22925356999999999</v>
          </cell>
          <cell r="E354">
            <v>0.22934302000000001</v>
          </cell>
          <cell r="F354">
            <v>0.22949404000000001</v>
          </cell>
          <cell r="G354"/>
          <cell r="H354"/>
          <cell r="I354"/>
          <cell r="J354"/>
          <cell r="K354"/>
        </row>
        <row r="355">
          <cell r="B355" t="str">
            <v>M343A</v>
          </cell>
          <cell r="C355">
            <v>0.26234278999999999</v>
          </cell>
          <cell r="D355">
            <v>0.26253554000000001</v>
          </cell>
          <cell r="E355">
            <v>0.26263507000000003</v>
          </cell>
          <cell r="F355">
            <v>0.26281555000000001</v>
          </cell>
          <cell r="G355"/>
          <cell r="H355"/>
          <cell r="I355"/>
          <cell r="J355"/>
          <cell r="K355"/>
        </row>
        <row r="356">
          <cell r="B356" t="str">
            <v>C201A</v>
          </cell>
          <cell r="C356">
            <v>0.25722627999999997</v>
          </cell>
          <cell r="D356">
            <v>0.25742092999999999</v>
          </cell>
          <cell r="E356">
            <v>0.25752068</v>
          </cell>
          <cell r="F356">
            <v>0.25769037</v>
          </cell>
          <cell r="G356"/>
          <cell r="H356"/>
          <cell r="I356"/>
          <cell r="J356"/>
          <cell r="K356"/>
        </row>
        <row r="357">
          <cell r="B357" t="str">
            <v>CF86A</v>
          </cell>
          <cell r="C357">
            <v>0.36970426000000001</v>
          </cell>
          <cell r="D357">
            <v>0.36997645000000001</v>
          </cell>
          <cell r="E357">
            <v>0.37012542999999998</v>
          </cell>
          <cell r="F357">
            <v>0.37037622999999997</v>
          </cell>
          <cell r="G357"/>
          <cell r="H357"/>
          <cell r="I357"/>
          <cell r="J357"/>
          <cell r="K357"/>
        </row>
        <row r="358">
          <cell r="B358" t="str">
            <v>DT46A</v>
          </cell>
          <cell r="C358">
            <v>0.63234288000000005</v>
          </cell>
          <cell r="D358">
            <v>0.63280345999999998</v>
          </cell>
          <cell r="E358">
            <v>0.63307086999999995</v>
          </cell>
          <cell r="F358">
            <v>0.63350313999999996</v>
          </cell>
          <cell r="G358"/>
          <cell r="H358"/>
          <cell r="I358"/>
          <cell r="J358"/>
          <cell r="K358"/>
        </row>
        <row r="359">
          <cell r="B359" t="str">
            <v>M345A</v>
          </cell>
          <cell r="C359">
            <v>0.32819124</v>
          </cell>
          <cell r="D359">
            <v>0.32843467999999998</v>
          </cell>
          <cell r="E359">
            <v>0.32855424999999999</v>
          </cell>
          <cell r="F359">
            <v>0.32878060999999997</v>
          </cell>
          <cell r="G359"/>
          <cell r="H359"/>
          <cell r="I359"/>
          <cell r="J359"/>
          <cell r="K359"/>
        </row>
        <row r="360">
          <cell r="B360" t="str">
            <v>CU60A</v>
          </cell>
          <cell r="C360">
            <v>0.70475469999999996</v>
          </cell>
          <cell r="D360">
            <v>0.70528268000000005</v>
          </cell>
          <cell r="E360">
            <v>0.70557318999999996</v>
          </cell>
          <cell r="F360">
            <v>0.70604241000000001</v>
          </cell>
          <cell r="G360"/>
          <cell r="H360"/>
          <cell r="I360"/>
          <cell r="J360"/>
          <cell r="K360"/>
        </row>
        <row r="361">
          <cell r="B361" t="str">
            <v>CU61A</v>
          </cell>
          <cell r="C361">
            <v>1.0051552100000001</v>
          </cell>
          <cell r="D361">
            <v>1.0059102</v>
          </cell>
          <cell r="E361">
            <v>1.0063253599999999</v>
          </cell>
          <cell r="F361">
            <v>1.0069953899999999</v>
          </cell>
          <cell r="G361"/>
          <cell r="H361"/>
          <cell r="I361"/>
          <cell r="J361"/>
          <cell r="K361"/>
        </row>
        <row r="362">
          <cell r="B362" t="str">
            <v>M347A</v>
          </cell>
          <cell r="C362">
            <v>0.42546639000000003</v>
          </cell>
          <cell r="D362">
            <v>0.42578724000000001</v>
          </cell>
          <cell r="E362">
            <v>0.42593639999999999</v>
          </cell>
          <cell r="F362">
            <v>0.42623162999999997</v>
          </cell>
          <cell r="G362"/>
          <cell r="H362"/>
          <cell r="I362"/>
          <cell r="J362"/>
          <cell r="K362"/>
        </row>
        <row r="363">
          <cell r="B363" t="str">
            <v>C202A</v>
          </cell>
          <cell r="C363">
            <v>0.60001519000000003</v>
          </cell>
          <cell r="D363">
            <v>0.60049067</v>
          </cell>
          <cell r="E363">
            <v>0.60071463999999997</v>
          </cell>
          <cell r="F363">
            <v>0.60111888999999996</v>
          </cell>
          <cell r="G363"/>
          <cell r="H363"/>
          <cell r="I363"/>
          <cell r="J363"/>
          <cell r="K363"/>
        </row>
        <row r="364">
          <cell r="B364" t="str">
            <v>SK01A</v>
          </cell>
          <cell r="C364">
            <v>0.32405144000000002</v>
          </cell>
          <cell r="D364">
            <v>0.32429305000000003</v>
          </cell>
          <cell r="E364">
            <v>0.32441428999999999</v>
          </cell>
          <cell r="F364">
            <v>0.32463909000000002</v>
          </cell>
          <cell r="G364"/>
          <cell r="H364"/>
          <cell r="I364"/>
          <cell r="J364"/>
          <cell r="K364"/>
        </row>
        <row r="365">
          <cell r="B365" t="str">
            <v>DT47A</v>
          </cell>
          <cell r="C365">
            <v>1.00506574</v>
          </cell>
          <cell r="D365">
            <v>1.00581393</v>
          </cell>
          <cell r="E365">
            <v>1.00620021</v>
          </cell>
          <cell r="F365">
            <v>1.0068920699999999</v>
          </cell>
          <cell r="G365"/>
          <cell r="H365"/>
          <cell r="I365"/>
          <cell r="J365"/>
          <cell r="K365"/>
        </row>
        <row r="366">
          <cell r="B366" t="str">
            <v>CU62A</v>
          </cell>
          <cell r="C366"/>
          <cell r="D366"/>
          <cell r="E366">
            <v>0.98768412999999999</v>
          </cell>
          <cell r="F366">
            <v>0.98409166000000003</v>
          </cell>
          <cell r="G366"/>
          <cell r="H366"/>
          <cell r="I366"/>
          <cell r="J366"/>
          <cell r="K366"/>
        </row>
        <row r="367">
          <cell r="B367" t="str">
            <v>M349A</v>
          </cell>
          <cell r="C367">
            <v>0.53360088999999999</v>
          </cell>
          <cell r="D367">
            <v>0.53400901000000001</v>
          </cell>
          <cell r="E367">
            <v>0.53420294000000001</v>
          </cell>
          <cell r="F367">
            <v>0.53457573999999997</v>
          </cell>
          <cell r="G367"/>
          <cell r="H367"/>
          <cell r="I367"/>
          <cell r="J367"/>
          <cell r="K367"/>
        </row>
        <row r="368">
          <cell r="B368" t="str">
            <v>M351A</v>
          </cell>
          <cell r="C368">
            <v>0.58066046000000004</v>
          </cell>
          <cell r="D368">
            <v>0.58110600000000001</v>
          </cell>
          <cell r="E368">
            <v>0.58131924999999995</v>
          </cell>
          <cell r="F368">
            <v>0.58172557999999996</v>
          </cell>
          <cell r="G368"/>
          <cell r="H368"/>
          <cell r="I368"/>
          <cell r="J368"/>
          <cell r="K368"/>
        </row>
        <row r="369">
          <cell r="B369" t="str">
            <v>M353A</v>
          </cell>
          <cell r="C369">
            <v>0.65659011</v>
          </cell>
          <cell r="D369">
            <v>0.65709496999999994</v>
          </cell>
          <cell r="E369">
            <v>0.65734475999999997</v>
          </cell>
          <cell r="F369">
            <v>0.65780506000000005</v>
          </cell>
          <cell r="G369"/>
          <cell r="H369"/>
          <cell r="I369"/>
          <cell r="J369"/>
          <cell r="K369"/>
        </row>
        <row r="370">
          <cell r="B370" t="str">
            <v>M355A</v>
          </cell>
          <cell r="C370">
            <v>0.79305912999999995</v>
          </cell>
          <cell r="D370">
            <v>0.79367441999999999</v>
          </cell>
          <cell r="E370">
            <v>0.79399706000000003</v>
          </cell>
          <cell r="F370">
            <v>0.79455609999999999</v>
          </cell>
          <cell r="G370"/>
          <cell r="H370"/>
          <cell r="I370"/>
          <cell r="J370"/>
          <cell r="K370"/>
        </row>
        <row r="371">
          <cell r="B371" t="str">
            <v>DT48A</v>
          </cell>
          <cell r="C371">
            <v>1.00333779</v>
          </cell>
          <cell r="D371">
            <v>1.0041042</v>
          </cell>
          <cell r="E371">
            <v>1.0044413999999999</v>
          </cell>
          <cell r="F371">
            <v>1.00513808</v>
          </cell>
          <cell r="G371"/>
          <cell r="H371"/>
          <cell r="I371"/>
          <cell r="J371"/>
          <cell r="K371"/>
        </row>
        <row r="372">
          <cell r="B372" t="str">
            <v>C203A</v>
          </cell>
          <cell r="C372">
            <v>1.01562661</v>
          </cell>
          <cell r="D372">
            <v>1.0163881800000001</v>
          </cell>
          <cell r="E372">
            <v>1.01770681</v>
          </cell>
          <cell r="F372">
            <v>0.80118592</v>
          </cell>
          <cell r="G372"/>
          <cell r="H372"/>
          <cell r="I372"/>
          <cell r="J372"/>
          <cell r="K372"/>
        </row>
        <row r="373">
          <cell r="B373" t="str">
            <v>DT49A</v>
          </cell>
          <cell r="C373">
            <v>1.00105511</v>
          </cell>
          <cell r="D373">
            <v>1.00183584</v>
          </cell>
          <cell r="E373">
            <v>1.00216528</v>
          </cell>
          <cell r="F373">
            <v>1.0028664</v>
          </cell>
          <cell r="G373"/>
          <cell r="H373"/>
          <cell r="I373"/>
          <cell r="J373"/>
          <cell r="K373"/>
        </row>
        <row r="374">
          <cell r="B374" t="str">
            <v>M357A</v>
          </cell>
          <cell r="C374">
            <v>0.92574166999999996</v>
          </cell>
          <cell r="D374">
            <v>0.92646680000000003</v>
          </cell>
          <cell r="E374">
            <v>0.92688387000000005</v>
          </cell>
          <cell r="F374">
            <v>0.92754139999999996</v>
          </cell>
          <cell r="G374"/>
          <cell r="H374"/>
          <cell r="I374"/>
          <cell r="J374"/>
          <cell r="K374"/>
        </row>
        <row r="375">
          <cell r="B375" t="str">
            <v>DT50A</v>
          </cell>
          <cell r="C375">
            <v>1.0001844600000001</v>
          </cell>
          <cell r="D375">
            <v>1.0009676599999999</v>
          </cell>
          <cell r="E375">
            <v>1.00131064</v>
          </cell>
          <cell r="F375">
            <v>1.00201289</v>
          </cell>
          <cell r="G375"/>
          <cell r="H375"/>
          <cell r="I375"/>
          <cell r="J375"/>
          <cell r="K375"/>
        </row>
        <row r="376">
          <cell r="B376" t="str">
            <v>WC08A</v>
          </cell>
          <cell r="C376">
            <v>0.82549437000000003</v>
          </cell>
          <cell r="D376">
            <v>0.82615411999999999</v>
          </cell>
          <cell r="E376">
            <v>0.82658310999999995</v>
          </cell>
          <cell r="F376">
            <v>0.82716073999999995</v>
          </cell>
          <cell r="G376"/>
          <cell r="H376"/>
          <cell r="I376"/>
          <cell r="J376"/>
          <cell r="K376"/>
        </row>
        <row r="377">
          <cell r="B377" t="str">
            <v>M359A</v>
          </cell>
          <cell r="C377">
            <v>1.0231993699999999</v>
          </cell>
          <cell r="D377">
            <v>1.02400351</v>
          </cell>
          <cell r="E377">
            <v>1.02447746</v>
          </cell>
          <cell r="F377">
            <v>1.0252050100000001</v>
          </cell>
          <cell r="G377"/>
          <cell r="H377"/>
          <cell r="I377"/>
          <cell r="J377"/>
          <cell r="K377"/>
        </row>
        <row r="378">
          <cell r="B378" t="str">
            <v>SK02A</v>
          </cell>
          <cell r="C378">
            <v>0.69637333999999995</v>
          </cell>
          <cell r="D378">
            <v>0.6969244</v>
          </cell>
          <cell r="E378">
            <v>0.69733875999999995</v>
          </cell>
          <cell r="F378">
            <v>0.69784265000000001</v>
          </cell>
          <cell r="G378"/>
          <cell r="H378"/>
          <cell r="I378"/>
          <cell r="J378"/>
          <cell r="K378"/>
        </row>
        <row r="379">
          <cell r="B379" t="str">
            <v>DT54A</v>
          </cell>
          <cell r="C379">
            <v>0.98726877999999996</v>
          </cell>
          <cell r="D379">
            <v>0.98808547999999996</v>
          </cell>
          <cell r="E379">
            <v>0.98870908999999996</v>
          </cell>
          <cell r="F379">
            <v>0.98943468999999995</v>
          </cell>
          <cell r="G379"/>
          <cell r="H379"/>
          <cell r="I379"/>
          <cell r="J379"/>
          <cell r="K379"/>
        </row>
        <row r="380">
          <cell r="B380" t="str">
            <v>DT55A</v>
          </cell>
          <cell r="C380">
            <v>0.96621378000000002</v>
          </cell>
          <cell r="D380">
            <v>0.96702465999999998</v>
          </cell>
          <cell r="E380">
            <v>0.96774402999999998</v>
          </cell>
          <cell r="F380">
            <v>0.96845972999999996</v>
          </cell>
          <cell r="G380"/>
          <cell r="H380"/>
          <cell r="I380"/>
          <cell r="J380"/>
          <cell r="K380"/>
        </row>
        <row r="381"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</row>
        <row r="382">
          <cell r="B382" t="str">
            <v>Acciones en Pesos</v>
          </cell>
          <cell r="C382"/>
          <cell r="D382"/>
          <cell r="E382"/>
          <cell r="F382"/>
          <cell r="G382"/>
          <cell r="H382"/>
          <cell r="I382"/>
          <cell r="J382"/>
          <cell r="K382"/>
        </row>
        <row r="383"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</row>
        <row r="384">
          <cell r="B384" t="str">
            <v>GGAL</v>
          </cell>
          <cell r="C384">
            <v>5960</v>
          </cell>
          <cell r="D384">
            <v>5835</v>
          </cell>
          <cell r="E384">
            <v>5620</v>
          </cell>
          <cell r="F384">
            <v>5565</v>
          </cell>
          <cell r="G384"/>
          <cell r="H384"/>
          <cell r="I384"/>
          <cell r="J384"/>
          <cell r="K384"/>
        </row>
        <row r="385">
          <cell r="B385" t="str">
            <v>TXAR</v>
          </cell>
          <cell r="C385">
            <v>784.5</v>
          </cell>
          <cell r="D385">
            <v>747</v>
          </cell>
          <cell r="E385">
            <v>722.5</v>
          </cell>
          <cell r="F385">
            <v>745</v>
          </cell>
          <cell r="G385"/>
          <cell r="H385"/>
          <cell r="I385"/>
          <cell r="J385"/>
          <cell r="K385"/>
        </row>
        <row r="386">
          <cell r="B386" t="str">
            <v>YPFD</v>
          </cell>
          <cell r="C386">
            <v>8260</v>
          </cell>
          <cell r="D386">
            <v>8030</v>
          </cell>
          <cell r="E386">
            <v>8185</v>
          </cell>
          <cell r="F386">
            <v>7870</v>
          </cell>
          <cell r="G386"/>
          <cell r="H386"/>
          <cell r="I386"/>
          <cell r="J386"/>
          <cell r="K386"/>
        </row>
        <row r="387">
          <cell r="B387" t="str">
            <v>PAMP</v>
          </cell>
          <cell r="C387">
            <v>5140</v>
          </cell>
          <cell r="D387">
            <v>4997.5</v>
          </cell>
          <cell r="E387">
            <v>4992.5</v>
          </cell>
          <cell r="F387">
            <v>4932.5</v>
          </cell>
          <cell r="G387"/>
          <cell r="H387"/>
          <cell r="I387"/>
          <cell r="J387"/>
          <cell r="K387"/>
        </row>
        <row r="388">
          <cell r="B388" t="str">
            <v>BBAR</v>
          </cell>
          <cell r="C388">
            <v>6800</v>
          </cell>
          <cell r="D388">
            <v>6740</v>
          </cell>
          <cell r="E388">
            <v>6540</v>
          </cell>
          <cell r="F388">
            <v>6560</v>
          </cell>
          <cell r="G388"/>
          <cell r="H388"/>
          <cell r="I388"/>
          <cell r="J388"/>
          <cell r="K388"/>
        </row>
        <row r="389">
          <cell r="B389" t="str">
            <v>ALUA</v>
          </cell>
          <cell r="C389">
            <v>868</v>
          </cell>
          <cell r="D389">
            <v>848</v>
          </cell>
          <cell r="E389">
            <v>841.5</v>
          </cell>
          <cell r="F389">
            <v>863</v>
          </cell>
          <cell r="G389"/>
          <cell r="H389"/>
          <cell r="I389"/>
          <cell r="J389"/>
          <cell r="K389"/>
        </row>
        <row r="390">
          <cell r="B390" t="str">
            <v>LOMA</v>
          </cell>
          <cell r="C390">
            <v>3152.5</v>
          </cell>
          <cell r="D390">
            <v>3075</v>
          </cell>
          <cell r="E390">
            <v>3000</v>
          </cell>
          <cell r="F390">
            <v>3040</v>
          </cell>
          <cell r="G390"/>
          <cell r="H390"/>
          <cell r="I390"/>
          <cell r="J390"/>
          <cell r="K390"/>
        </row>
        <row r="391">
          <cell r="B391" t="str">
            <v>CEPU</v>
          </cell>
          <cell r="C391">
            <v>1947</v>
          </cell>
          <cell r="D391">
            <v>1894</v>
          </cell>
          <cell r="E391">
            <v>1873</v>
          </cell>
          <cell r="F391">
            <v>1817</v>
          </cell>
          <cell r="G391"/>
          <cell r="H391"/>
          <cell r="I391"/>
          <cell r="J391"/>
          <cell r="K391"/>
        </row>
        <row r="392">
          <cell r="B392" t="str">
            <v>BYMA</v>
          </cell>
          <cell r="C392">
            <v>240.5</v>
          </cell>
          <cell r="D392">
            <v>233.5</v>
          </cell>
          <cell r="E392">
            <v>223.75</v>
          </cell>
          <cell r="F392">
            <v>222.5</v>
          </cell>
          <cell r="G392"/>
          <cell r="H392"/>
          <cell r="I392"/>
          <cell r="J392"/>
          <cell r="K392"/>
        </row>
        <row r="393">
          <cell r="B393" t="str">
            <v>SUPV</v>
          </cell>
          <cell r="C393">
            <v>2379</v>
          </cell>
          <cell r="D393">
            <v>2326</v>
          </cell>
          <cell r="E393">
            <v>2227</v>
          </cell>
          <cell r="F393">
            <v>2208</v>
          </cell>
          <cell r="G393"/>
          <cell r="H393"/>
          <cell r="I393"/>
          <cell r="J393"/>
          <cell r="K393"/>
        </row>
        <row r="394">
          <cell r="B394" t="str">
            <v>TGNO4</v>
          </cell>
          <cell r="C394">
            <v>2902.5</v>
          </cell>
          <cell r="D394">
            <v>2787.5</v>
          </cell>
          <cell r="E394">
            <v>2700</v>
          </cell>
          <cell r="F394">
            <v>2817.5</v>
          </cell>
          <cell r="G394"/>
          <cell r="H394"/>
          <cell r="I394"/>
          <cell r="J394"/>
          <cell r="K394"/>
        </row>
        <row r="395">
          <cell r="B395" t="str">
            <v>CRES</v>
          </cell>
          <cell r="C395">
            <v>1809</v>
          </cell>
          <cell r="D395">
            <v>1668</v>
          </cell>
          <cell r="E395">
            <v>1634</v>
          </cell>
          <cell r="F395">
            <v>1647</v>
          </cell>
          <cell r="G395"/>
          <cell r="H395"/>
          <cell r="I395"/>
          <cell r="J395"/>
          <cell r="K395"/>
        </row>
        <row r="396">
          <cell r="B396" t="str">
            <v>TECO2</v>
          </cell>
          <cell r="C396">
            <v>4002.5</v>
          </cell>
          <cell r="D396">
            <v>3832.5</v>
          </cell>
          <cell r="E396">
            <v>3670</v>
          </cell>
          <cell r="F396">
            <v>3687.5</v>
          </cell>
          <cell r="G396"/>
          <cell r="H396"/>
          <cell r="I396"/>
          <cell r="J396"/>
          <cell r="K396"/>
        </row>
        <row r="397">
          <cell r="B397" t="str">
            <v>VALO</v>
          </cell>
          <cell r="C397">
            <v>510</v>
          </cell>
          <cell r="D397">
            <v>506</v>
          </cell>
          <cell r="E397">
            <v>509</v>
          </cell>
          <cell r="F397">
            <v>513.5</v>
          </cell>
          <cell r="G397"/>
          <cell r="H397"/>
          <cell r="I397"/>
          <cell r="J397"/>
          <cell r="K397"/>
        </row>
        <row r="398">
          <cell r="B398" t="str">
            <v>TGSU2</v>
          </cell>
          <cell r="C398">
            <v>8750</v>
          </cell>
          <cell r="D398">
            <v>8405</v>
          </cell>
          <cell r="E398">
            <v>8400</v>
          </cell>
          <cell r="F398">
            <v>8285</v>
          </cell>
          <cell r="G398"/>
          <cell r="H398"/>
          <cell r="I398"/>
          <cell r="J398"/>
          <cell r="K398"/>
        </row>
        <row r="399">
          <cell r="B399" t="str">
            <v>AUSO</v>
          </cell>
          <cell r="C399">
            <v>2740</v>
          </cell>
          <cell r="D399">
            <v>2705</v>
          </cell>
          <cell r="E399">
            <v>2585</v>
          </cell>
          <cell r="F399">
            <v>2545</v>
          </cell>
          <cell r="G399"/>
          <cell r="H399"/>
          <cell r="I399"/>
          <cell r="J399"/>
          <cell r="K399"/>
        </row>
        <row r="400">
          <cell r="B400" t="str">
            <v>METR</v>
          </cell>
          <cell r="C400">
            <v>2390</v>
          </cell>
          <cell r="D400">
            <v>2386</v>
          </cell>
          <cell r="E400">
            <v>2413</v>
          </cell>
          <cell r="F400">
            <v>2357</v>
          </cell>
          <cell r="G400"/>
          <cell r="H400"/>
          <cell r="I400"/>
          <cell r="J400"/>
          <cell r="K400"/>
        </row>
        <row r="401">
          <cell r="B401" t="str">
            <v>ECOG</v>
          </cell>
          <cell r="C401">
            <v>2209</v>
          </cell>
          <cell r="D401">
            <v>2194</v>
          </cell>
          <cell r="E401">
            <v>2115</v>
          </cell>
          <cell r="F401">
            <v>2167</v>
          </cell>
          <cell r="G401"/>
          <cell r="H401"/>
          <cell r="I401"/>
          <cell r="J401"/>
          <cell r="K401"/>
        </row>
        <row r="402">
          <cell r="B402" t="str">
            <v>COME</v>
          </cell>
          <cell r="C402">
            <v>35.83</v>
          </cell>
          <cell r="D402">
            <v>35.85</v>
          </cell>
          <cell r="E402">
            <v>34.340000000000003</v>
          </cell>
          <cell r="F402">
            <v>33.31</v>
          </cell>
          <cell r="G402"/>
          <cell r="H402"/>
          <cell r="I402"/>
          <cell r="J402"/>
          <cell r="K402"/>
        </row>
        <row r="403">
          <cell r="B403" t="str">
            <v>MIRG</v>
          </cell>
          <cell r="C403">
            <v>1785</v>
          </cell>
          <cell r="D403">
            <v>1830</v>
          </cell>
          <cell r="E403">
            <v>1780</v>
          </cell>
          <cell r="F403">
            <v>1820</v>
          </cell>
          <cell r="G403"/>
          <cell r="H403"/>
          <cell r="I403"/>
          <cell r="J403"/>
          <cell r="K403"/>
        </row>
        <row r="404">
          <cell r="B404" t="str">
            <v>CVH</v>
          </cell>
          <cell r="C404">
            <v>9090</v>
          </cell>
          <cell r="D404">
            <v>9170</v>
          </cell>
          <cell r="E404">
            <v>9170</v>
          </cell>
          <cell r="F404">
            <v>9060</v>
          </cell>
          <cell r="G404"/>
          <cell r="H404"/>
          <cell r="I404"/>
          <cell r="J404"/>
          <cell r="K404"/>
        </row>
        <row r="405">
          <cell r="B405" t="str">
            <v>TRAN</v>
          </cell>
          <cell r="C405">
            <v>2353</v>
          </cell>
          <cell r="D405">
            <v>2255</v>
          </cell>
          <cell r="E405">
            <v>2219</v>
          </cell>
          <cell r="F405">
            <v>2239</v>
          </cell>
          <cell r="G405"/>
          <cell r="H405"/>
          <cell r="I405"/>
          <cell r="J405"/>
          <cell r="K405"/>
        </row>
        <row r="406">
          <cell r="B406" t="str">
            <v>HARG</v>
          </cell>
          <cell r="C406">
            <v>1235</v>
          </cell>
          <cell r="D406">
            <v>1195</v>
          </cell>
          <cell r="E406">
            <v>1170</v>
          </cell>
          <cell r="F406">
            <v>1175</v>
          </cell>
          <cell r="G406"/>
          <cell r="H406"/>
          <cell r="I406"/>
          <cell r="J406"/>
          <cell r="K406"/>
        </row>
        <row r="407">
          <cell r="B407" t="str">
            <v>EDN</v>
          </cell>
          <cell r="C407">
            <v>1506</v>
          </cell>
          <cell r="D407">
            <v>1442</v>
          </cell>
          <cell r="E407">
            <v>1419</v>
          </cell>
          <cell r="F407">
            <v>1362</v>
          </cell>
          <cell r="G407"/>
          <cell r="H407"/>
          <cell r="I407"/>
          <cell r="J407"/>
          <cell r="K407"/>
        </row>
        <row r="408">
          <cell r="B408" t="str">
            <v>MASU</v>
          </cell>
          <cell r="C408">
            <v>0.01</v>
          </cell>
          <cell r="D408">
            <v>0.01</v>
          </cell>
          <cell r="E408">
            <v>0.01</v>
          </cell>
          <cell r="F408">
            <v>0.01</v>
          </cell>
          <cell r="G408"/>
          <cell r="H408"/>
          <cell r="I408"/>
          <cell r="J408"/>
          <cell r="K408"/>
        </row>
        <row r="409">
          <cell r="B409" t="str">
            <v>INVJ</v>
          </cell>
          <cell r="C409">
            <v>384.5</v>
          </cell>
          <cell r="D409">
            <v>378.5</v>
          </cell>
          <cell r="E409">
            <v>369.5</v>
          </cell>
          <cell r="F409">
            <v>365</v>
          </cell>
          <cell r="G409"/>
          <cell r="H409"/>
          <cell r="I409"/>
          <cell r="J409"/>
          <cell r="K409"/>
        </row>
        <row r="410">
          <cell r="B410" t="str">
            <v>IRSA</v>
          </cell>
          <cell r="C410">
            <v>2160</v>
          </cell>
          <cell r="D410">
            <v>2155</v>
          </cell>
          <cell r="E410">
            <v>2130</v>
          </cell>
          <cell r="F410">
            <v>2160</v>
          </cell>
          <cell r="G410"/>
          <cell r="H410"/>
          <cell r="I410"/>
          <cell r="J410"/>
          <cell r="K410"/>
        </row>
        <row r="411">
          <cell r="B411" t="str">
            <v>DGCE</v>
          </cell>
          <cell r="C411">
            <v>1850</v>
          </cell>
          <cell r="D411">
            <v>1850</v>
          </cell>
          <cell r="E411">
            <v>1850</v>
          </cell>
          <cell r="F411">
            <v>1850</v>
          </cell>
          <cell r="G411"/>
          <cell r="H411"/>
          <cell r="I411"/>
          <cell r="J411"/>
          <cell r="K411"/>
        </row>
        <row r="412">
          <cell r="B412" t="str">
            <v>BHIP</v>
          </cell>
          <cell r="C412">
            <v>236</v>
          </cell>
          <cell r="D412">
            <v>234.5</v>
          </cell>
          <cell r="E412">
            <v>227</v>
          </cell>
          <cell r="F412">
            <v>223</v>
          </cell>
          <cell r="G412"/>
          <cell r="H412"/>
          <cell r="I412"/>
          <cell r="J412"/>
          <cell r="K412"/>
        </row>
        <row r="413"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</row>
        <row r="414">
          <cell r="B414" t="str">
            <v>Acciones en USD</v>
          </cell>
          <cell r="C414"/>
          <cell r="D414"/>
          <cell r="E414"/>
          <cell r="F414"/>
          <cell r="G414"/>
          <cell r="H414"/>
          <cell r="I414"/>
          <cell r="J414"/>
          <cell r="K414"/>
        </row>
        <row r="415">
          <cell r="B415"/>
          <cell r="C415"/>
          <cell r="D415"/>
          <cell r="E415"/>
          <cell r="F415"/>
          <cell r="G415"/>
          <cell r="H415"/>
          <cell r="I415"/>
          <cell r="J415"/>
          <cell r="K415"/>
        </row>
        <row r="416">
          <cell r="B416" t="str">
            <v>YPFDD</v>
          </cell>
          <cell r="C416">
            <v>5.29</v>
          </cell>
          <cell r="D416">
            <v>5.16</v>
          </cell>
          <cell r="E416">
            <v>5.22</v>
          </cell>
          <cell r="F416">
            <v>5.03</v>
          </cell>
          <cell r="G416"/>
          <cell r="H416"/>
          <cell r="I416"/>
          <cell r="J416"/>
          <cell r="K416"/>
        </row>
        <row r="417">
          <cell r="B417" t="str">
            <v>VALOD</v>
          </cell>
          <cell r="C417">
            <v>0.32400000000000001</v>
          </cell>
          <cell r="D417">
            <v>0.32500000000000001</v>
          </cell>
          <cell r="E417">
            <v>0.32600000000000001</v>
          </cell>
          <cell r="F417">
            <v>0.32700000000000001</v>
          </cell>
          <cell r="G417"/>
          <cell r="H417"/>
          <cell r="I417"/>
          <cell r="J417"/>
          <cell r="K417"/>
        </row>
        <row r="418">
          <cell r="B418" t="str">
            <v>LOMAD</v>
          </cell>
          <cell r="C418">
            <v>1.9950000000000001</v>
          </cell>
          <cell r="D418">
            <v>1.99</v>
          </cell>
          <cell r="E418">
            <v>1.9</v>
          </cell>
          <cell r="F418">
            <v>1.9550000000000001</v>
          </cell>
          <cell r="G418"/>
          <cell r="H418"/>
          <cell r="I418"/>
          <cell r="J418"/>
          <cell r="K418"/>
        </row>
        <row r="419">
          <cell r="B419" t="str">
            <v>PAMPD</v>
          </cell>
          <cell r="C419">
            <v>3.28</v>
          </cell>
          <cell r="D419">
            <v>3.21</v>
          </cell>
          <cell r="E419">
            <v>3.19</v>
          </cell>
          <cell r="F419">
            <v>3.145</v>
          </cell>
          <cell r="G419"/>
          <cell r="H419"/>
          <cell r="I419"/>
          <cell r="J419"/>
          <cell r="K419"/>
        </row>
        <row r="420">
          <cell r="B420" t="str">
            <v>EDND</v>
          </cell>
          <cell r="C420">
            <v>0.95899999999999996</v>
          </cell>
          <cell r="D420">
            <v>0.92600000000000005</v>
          </cell>
          <cell r="E420">
            <v>0.90300000000000002</v>
          </cell>
          <cell r="F420">
            <v>0.86899999999999999</v>
          </cell>
          <cell r="G420"/>
          <cell r="H420"/>
          <cell r="I420"/>
          <cell r="J420"/>
          <cell r="K420"/>
        </row>
        <row r="421">
          <cell r="B421" t="str">
            <v>BBARD</v>
          </cell>
          <cell r="C421">
            <v>4.335</v>
          </cell>
          <cell r="D421">
            <v>4.33</v>
          </cell>
          <cell r="E421">
            <v>4.1500000000000004</v>
          </cell>
          <cell r="F421">
            <v>4.1900000000000004</v>
          </cell>
          <cell r="G421"/>
          <cell r="H421"/>
          <cell r="I421"/>
          <cell r="J421"/>
          <cell r="K421"/>
        </row>
        <row r="422">
          <cell r="B422" t="str">
            <v>GGALD</v>
          </cell>
          <cell r="C422">
            <v>3.8050000000000002</v>
          </cell>
          <cell r="D422">
            <v>3.7549999999999999</v>
          </cell>
          <cell r="E422">
            <v>3.5950000000000002</v>
          </cell>
          <cell r="F422">
            <v>3.59</v>
          </cell>
          <cell r="G422"/>
          <cell r="H422"/>
          <cell r="I422"/>
          <cell r="J422"/>
          <cell r="K422"/>
        </row>
        <row r="423">
          <cell r="B423" t="str">
            <v>SUPVD</v>
          </cell>
          <cell r="C423">
            <v>1.51</v>
          </cell>
          <cell r="D423">
            <v>1.51</v>
          </cell>
          <cell r="E423">
            <v>1.42</v>
          </cell>
          <cell r="F423">
            <v>1.42</v>
          </cell>
          <cell r="G423"/>
          <cell r="H423"/>
          <cell r="I423"/>
          <cell r="J423"/>
          <cell r="K423"/>
        </row>
        <row r="424"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</row>
        <row r="425">
          <cell r="B425" t="str">
            <v>Cedears en Pesos</v>
          </cell>
          <cell r="C425"/>
          <cell r="D425"/>
          <cell r="E425"/>
          <cell r="F425"/>
          <cell r="G425"/>
          <cell r="H425"/>
          <cell r="I425"/>
          <cell r="J425"/>
          <cell r="K425"/>
        </row>
        <row r="426"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</row>
        <row r="427">
          <cell r="B427" t="str">
            <v>MELI</v>
          </cell>
          <cell r="C427">
            <v>23340</v>
          </cell>
          <cell r="D427">
            <v>23190</v>
          </cell>
          <cell r="E427">
            <v>23050</v>
          </cell>
          <cell r="F427">
            <v>22740</v>
          </cell>
          <cell r="G427"/>
          <cell r="H427"/>
          <cell r="I427"/>
          <cell r="J427"/>
          <cell r="K427"/>
        </row>
        <row r="428">
          <cell r="B428" t="str">
            <v>NU</v>
          </cell>
          <cell r="C428">
            <v>10640</v>
          </cell>
          <cell r="D428">
            <v>10290</v>
          </cell>
          <cell r="E428">
            <v>9960</v>
          </cell>
          <cell r="F428">
            <v>9960</v>
          </cell>
          <cell r="G428"/>
          <cell r="H428"/>
          <cell r="I428"/>
          <cell r="J428"/>
          <cell r="K428"/>
        </row>
        <row r="429">
          <cell r="B429" t="str">
            <v>VALE</v>
          </cell>
          <cell r="C429">
            <v>10060</v>
          </cell>
          <cell r="D429">
            <v>9805</v>
          </cell>
          <cell r="E429">
            <v>9490</v>
          </cell>
          <cell r="F429">
            <v>9235</v>
          </cell>
          <cell r="G429"/>
          <cell r="H429"/>
          <cell r="I429"/>
          <cell r="J429"/>
          <cell r="K429"/>
        </row>
        <row r="430">
          <cell r="B430" t="str">
            <v>BBDC3</v>
          </cell>
          <cell r="C430">
            <v>4567.5</v>
          </cell>
          <cell r="D430">
            <v>4407.5</v>
          </cell>
          <cell r="E430">
            <v>4187.5</v>
          </cell>
          <cell r="F430">
            <v>3930</v>
          </cell>
          <cell r="G430"/>
          <cell r="H430"/>
          <cell r="I430"/>
          <cell r="J430"/>
          <cell r="K430"/>
        </row>
        <row r="431">
          <cell r="B431" t="str">
            <v>VALE3</v>
          </cell>
          <cell r="C431">
            <v>20170</v>
          </cell>
          <cell r="D431">
            <v>19640</v>
          </cell>
          <cell r="E431">
            <v>18910</v>
          </cell>
          <cell r="F431">
            <v>18530</v>
          </cell>
          <cell r="G431"/>
          <cell r="H431"/>
          <cell r="I431"/>
          <cell r="J431"/>
          <cell r="K431"/>
        </row>
        <row r="432">
          <cell r="B432" t="str">
            <v>ITUB3</v>
          </cell>
          <cell r="C432">
            <v>14430</v>
          </cell>
          <cell r="D432">
            <v>14220</v>
          </cell>
          <cell r="E432">
            <v>13710</v>
          </cell>
          <cell r="F432">
            <v>13680</v>
          </cell>
          <cell r="G432"/>
          <cell r="H432"/>
          <cell r="I432"/>
          <cell r="J432"/>
          <cell r="K432"/>
        </row>
        <row r="433">
          <cell r="B433" t="str">
            <v>PETR3</v>
          </cell>
          <cell r="C433">
            <v>19030</v>
          </cell>
          <cell r="D433">
            <v>18950</v>
          </cell>
          <cell r="E433">
            <v>18420</v>
          </cell>
          <cell r="F433">
            <v>18060</v>
          </cell>
          <cell r="G433"/>
          <cell r="H433"/>
          <cell r="I433"/>
          <cell r="J433"/>
          <cell r="K433"/>
        </row>
        <row r="434">
          <cell r="B434" t="str">
            <v>SUZB3</v>
          </cell>
          <cell r="C434">
            <v>14500</v>
          </cell>
          <cell r="D434">
            <v>14800</v>
          </cell>
          <cell r="E434">
            <v>14960</v>
          </cell>
          <cell r="F434">
            <v>15200</v>
          </cell>
          <cell r="G434"/>
          <cell r="H434"/>
          <cell r="I434"/>
          <cell r="J434"/>
          <cell r="K434"/>
        </row>
        <row r="435">
          <cell r="B435" t="str">
            <v>SBSP3</v>
          </cell>
          <cell r="C435">
            <v>7405</v>
          </cell>
          <cell r="D435">
            <v>8020</v>
          </cell>
          <cell r="E435">
            <v>7605</v>
          </cell>
          <cell r="F435">
            <v>7610</v>
          </cell>
          <cell r="G435"/>
          <cell r="H435"/>
          <cell r="I435"/>
          <cell r="J435"/>
          <cell r="K435"/>
        </row>
        <row r="436">
          <cell r="B436" t="str">
            <v>ABEV3</v>
          </cell>
          <cell r="C436">
            <v>4925</v>
          </cell>
          <cell r="D436">
            <v>4792.5</v>
          </cell>
          <cell r="E436">
            <v>4650</v>
          </cell>
          <cell r="F436">
            <v>4470</v>
          </cell>
          <cell r="G436"/>
          <cell r="H436"/>
          <cell r="I436"/>
          <cell r="J436"/>
          <cell r="K436"/>
        </row>
        <row r="437">
          <cell r="B437" t="str">
            <v>MSFT</v>
          </cell>
          <cell r="C437">
            <v>29800</v>
          </cell>
          <cell r="D437">
            <v>29260</v>
          </cell>
          <cell r="E437">
            <v>29280</v>
          </cell>
          <cell r="F437">
            <v>29100</v>
          </cell>
          <cell r="G437"/>
          <cell r="H437"/>
          <cell r="I437"/>
          <cell r="J437"/>
          <cell r="K437"/>
        </row>
        <row r="438">
          <cell r="B438" t="str">
            <v>META</v>
          </cell>
          <cell r="C438">
            <v>44080</v>
          </cell>
          <cell r="D438">
            <v>42760</v>
          </cell>
          <cell r="E438">
            <v>42300</v>
          </cell>
          <cell r="F438">
            <v>43100</v>
          </cell>
          <cell r="G438"/>
          <cell r="H438"/>
          <cell r="I438"/>
          <cell r="J438"/>
          <cell r="K438"/>
        </row>
        <row r="439">
          <cell r="B439" t="str">
            <v>ITUB</v>
          </cell>
          <cell r="C439">
            <v>13010</v>
          </cell>
          <cell r="D439">
            <v>12730</v>
          </cell>
          <cell r="E439">
            <v>12330</v>
          </cell>
          <cell r="F439">
            <v>12110</v>
          </cell>
          <cell r="G439"/>
          <cell r="H439"/>
          <cell r="I439"/>
          <cell r="J439"/>
          <cell r="K439"/>
        </row>
        <row r="440">
          <cell r="B440" t="str">
            <v>PBR</v>
          </cell>
          <cell r="C440">
            <v>37800</v>
          </cell>
          <cell r="D440">
            <v>36900</v>
          </cell>
          <cell r="E440">
            <v>36640</v>
          </cell>
          <cell r="F440">
            <v>36140</v>
          </cell>
          <cell r="G440"/>
          <cell r="H440"/>
          <cell r="I440"/>
          <cell r="J440"/>
          <cell r="K440"/>
        </row>
        <row r="441">
          <cell r="B441" t="str">
            <v>VIST</v>
          </cell>
          <cell r="C441">
            <v>40640</v>
          </cell>
          <cell r="D441">
            <v>39500</v>
          </cell>
          <cell r="E441">
            <v>40060</v>
          </cell>
          <cell r="F441">
            <v>39160</v>
          </cell>
          <cell r="G441"/>
          <cell r="H441"/>
          <cell r="I441"/>
          <cell r="J441"/>
          <cell r="K441"/>
        </row>
        <row r="442">
          <cell r="B442" t="str">
            <v>PAGS</v>
          </cell>
          <cell r="C442">
            <v>4815</v>
          </cell>
          <cell r="D442">
            <v>4615</v>
          </cell>
          <cell r="E442">
            <v>4485</v>
          </cell>
          <cell r="F442">
            <v>4412.5</v>
          </cell>
          <cell r="G442"/>
          <cell r="H442"/>
          <cell r="I442"/>
          <cell r="J442"/>
          <cell r="K442"/>
        </row>
        <row r="443">
          <cell r="B443" t="str">
            <v>BBD</v>
          </cell>
          <cell r="C443">
            <v>4942.5</v>
          </cell>
          <cell r="D443">
            <v>4867.5</v>
          </cell>
          <cell r="E443">
            <v>4572.5</v>
          </cell>
          <cell r="F443">
            <v>4350</v>
          </cell>
          <cell r="G443"/>
          <cell r="H443"/>
          <cell r="I443"/>
          <cell r="J443"/>
          <cell r="K443"/>
        </row>
        <row r="444">
          <cell r="B444" t="str">
            <v>SID</v>
          </cell>
          <cell r="C444">
            <v>12310</v>
          </cell>
          <cell r="D444">
            <v>11590</v>
          </cell>
          <cell r="E444">
            <v>10690</v>
          </cell>
          <cell r="F444">
            <v>10290</v>
          </cell>
          <cell r="G444"/>
          <cell r="H444"/>
          <cell r="I444"/>
          <cell r="J444"/>
          <cell r="K444"/>
        </row>
        <row r="445">
          <cell r="B445" t="str">
            <v>SMH</v>
          </cell>
          <cell r="C445">
            <v>18220</v>
          </cell>
          <cell r="D445">
            <v>18490</v>
          </cell>
          <cell r="E445">
            <v>18830</v>
          </cell>
          <cell r="F445">
            <v>18530</v>
          </cell>
          <cell r="G445"/>
          <cell r="H445"/>
          <cell r="I445"/>
          <cell r="J445"/>
          <cell r="K445"/>
        </row>
        <row r="446">
          <cell r="B446" t="str">
            <v>GOOGL</v>
          </cell>
          <cell r="C446">
            <v>9195</v>
          </cell>
          <cell r="D446">
            <v>9190</v>
          </cell>
          <cell r="E446">
            <v>9315</v>
          </cell>
          <cell r="F446">
            <v>8065</v>
          </cell>
          <cell r="G446"/>
          <cell r="H446"/>
          <cell r="I446"/>
          <cell r="J446"/>
          <cell r="K446"/>
        </row>
        <row r="447"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</row>
        <row r="448">
          <cell r="B448" t="str">
            <v>Cedears en USD</v>
          </cell>
          <cell r="C448"/>
          <cell r="D448"/>
          <cell r="E448"/>
          <cell r="F448"/>
          <cell r="G448"/>
          <cell r="H448"/>
          <cell r="I448"/>
          <cell r="J448"/>
          <cell r="K448"/>
        </row>
        <row r="449"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</row>
        <row r="450">
          <cell r="B450" t="str">
            <v>VALED</v>
          </cell>
          <cell r="C450">
            <v>6.44</v>
          </cell>
          <cell r="D450">
            <v>6.3</v>
          </cell>
          <cell r="E450">
            <v>6.06</v>
          </cell>
          <cell r="F450">
            <v>5.91</v>
          </cell>
          <cell r="G450"/>
          <cell r="H450"/>
          <cell r="I450"/>
          <cell r="J450"/>
          <cell r="K450"/>
        </row>
        <row r="451">
          <cell r="B451" t="str">
            <v>PBRD</v>
          </cell>
          <cell r="C451">
            <v>23.52</v>
          </cell>
          <cell r="D451">
            <v>23.78</v>
          </cell>
          <cell r="E451">
            <v>23.49</v>
          </cell>
          <cell r="F451">
            <v>23.1</v>
          </cell>
          <cell r="G451"/>
          <cell r="H451"/>
          <cell r="I451"/>
          <cell r="J451"/>
          <cell r="K451"/>
        </row>
        <row r="452">
          <cell r="B452" t="str">
            <v>PAGSD</v>
          </cell>
          <cell r="C452">
            <v>3.13</v>
          </cell>
          <cell r="D452">
            <v>2.9750000000000001</v>
          </cell>
          <cell r="E452">
            <v>2.895</v>
          </cell>
          <cell r="F452">
            <v>2.835</v>
          </cell>
          <cell r="G452"/>
          <cell r="H452"/>
          <cell r="I452"/>
          <cell r="J452"/>
          <cell r="K452"/>
        </row>
        <row r="453">
          <cell r="B453" t="str">
            <v>VISTD</v>
          </cell>
          <cell r="C453">
            <v>25.82</v>
          </cell>
          <cell r="D453">
            <v>25.33</v>
          </cell>
          <cell r="E453">
            <v>25.44</v>
          </cell>
          <cell r="F453">
            <v>25.07</v>
          </cell>
          <cell r="G453"/>
          <cell r="H453"/>
          <cell r="I453"/>
          <cell r="J453"/>
          <cell r="K453"/>
        </row>
        <row r="454">
          <cell r="B454" t="str">
            <v>BBDD</v>
          </cell>
          <cell r="C454">
            <v>3.1549999999999998</v>
          </cell>
          <cell r="D454">
            <v>3.145</v>
          </cell>
          <cell r="E454">
            <v>2.93</v>
          </cell>
          <cell r="F454">
            <v>2.7749999999999999</v>
          </cell>
          <cell r="G454"/>
          <cell r="H454"/>
          <cell r="I454"/>
          <cell r="J454"/>
          <cell r="K454"/>
        </row>
        <row r="455">
          <cell r="B455" t="str">
            <v>SIDD</v>
          </cell>
          <cell r="C455">
            <v>7.92</v>
          </cell>
          <cell r="D455">
            <v>7.46</v>
          </cell>
          <cell r="E455">
            <v>6.85</v>
          </cell>
          <cell r="F455">
            <v>6.59</v>
          </cell>
          <cell r="G455"/>
          <cell r="H455"/>
          <cell r="I455"/>
          <cell r="J455"/>
          <cell r="K455"/>
        </row>
        <row r="456"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</row>
        <row r="457">
          <cell r="B457" t="str">
            <v>ADR</v>
          </cell>
          <cell r="C457"/>
          <cell r="D457"/>
          <cell r="E457"/>
          <cell r="F457"/>
          <cell r="G457"/>
          <cell r="H457"/>
          <cell r="I457"/>
          <cell r="J457"/>
          <cell r="K457"/>
        </row>
        <row r="458"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</row>
        <row r="459">
          <cell r="B459" t="str">
            <v>BBD US</v>
          </cell>
          <cell r="C459">
            <v>2.93</v>
          </cell>
          <cell r="D459">
            <v>2.91</v>
          </cell>
          <cell r="E459">
            <v>2.73</v>
          </cell>
          <cell r="F459">
            <v>2.63</v>
          </cell>
          <cell r="G459"/>
          <cell r="H459"/>
          <cell r="I459"/>
          <cell r="J459"/>
          <cell r="K459"/>
        </row>
        <row r="460">
          <cell r="B460" t="str">
            <v>PAGS US</v>
          </cell>
          <cell r="C460">
            <v>8.56</v>
          </cell>
          <cell r="D460">
            <v>8.4</v>
          </cell>
          <cell r="E460">
            <v>8.15</v>
          </cell>
          <cell r="F460">
            <v>8.07</v>
          </cell>
          <cell r="G460"/>
          <cell r="H460"/>
          <cell r="I460"/>
          <cell r="J460"/>
          <cell r="K460"/>
        </row>
        <row r="461">
          <cell r="B461" t="str">
            <v>NIO US</v>
          </cell>
          <cell r="C461">
            <v>3.26</v>
          </cell>
          <cell r="D461">
            <v>3.29</v>
          </cell>
          <cell r="E461">
            <v>3.32</v>
          </cell>
          <cell r="F461">
            <v>3.32</v>
          </cell>
          <cell r="G461"/>
          <cell r="H461"/>
          <cell r="I461"/>
          <cell r="J461"/>
          <cell r="K461"/>
        </row>
        <row r="462">
          <cell r="B462" t="str">
            <v>JD US</v>
          </cell>
          <cell r="C462">
            <v>25.24</v>
          </cell>
          <cell r="D462">
            <v>25.57</v>
          </cell>
          <cell r="E462">
            <v>25.45</v>
          </cell>
          <cell r="F462">
            <v>25.63</v>
          </cell>
          <cell r="G462"/>
          <cell r="H462"/>
          <cell r="I462"/>
          <cell r="J462"/>
          <cell r="K462"/>
        </row>
        <row r="463">
          <cell r="B463" t="str">
            <v>BDORY US</v>
          </cell>
          <cell r="C463">
            <v>3.42</v>
          </cell>
          <cell r="D463">
            <v>3.35</v>
          </cell>
          <cell r="E463">
            <v>3.19</v>
          </cell>
          <cell r="F463">
            <v>3.19</v>
          </cell>
          <cell r="G463"/>
          <cell r="H463"/>
          <cell r="I463"/>
          <cell r="J463"/>
          <cell r="K463"/>
        </row>
        <row r="464">
          <cell r="B464" t="str">
            <v>GGAL US</v>
          </cell>
          <cell r="C464">
            <v>35.35</v>
          </cell>
          <cell r="D464">
            <v>35.14</v>
          </cell>
          <cell r="E464">
            <v>33.840000000000003</v>
          </cell>
          <cell r="F464">
            <v>33.729999999999997</v>
          </cell>
          <cell r="G464"/>
          <cell r="H464"/>
          <cell r="I464"/>
          <cell r="J464"/>
          <cell r="K464"/>
        </row>
        <row r="465">
          <cell r="B465" t="str">
            <v>VALE US</v>
          </cell>
          <cell r="C465">
            <v>12</v>
          </cell>
          <cell r="D465">
            <v>11.84</v>
          </cell>
          <cell r="E465">
            <v>11.47</v>
          </cell>
          <cell r="F465">
            <v>11.18</v>
          </cell>
          <cell r="G465"/>
          <cell r="H465"/>
          <cell r="I465"/>
          <cell r="J465"/>
          <cell r="K465"/>
        </row>
        <row r="466">
          <cell r="B466" t="str">
            <v>PBR US</v>
          </cell>
          <cell r="C466">
            <v>22.5</v>
          </cell>
          <cell r="D466">
            <v>22.3</v>
          </cell>
          <cell r="E466">
            <v>22.03</v>
          </cell>
          <cell r="F466">
            <v>21.9</v>
          </cell>
          <cell r="G466"/>
          <cell r="H466"/>
          <cell r="I466"/>
          <cell r="J466"/>
          <cell r="K466"/>
        </row>
        <row r="467">
          <cell r="B467" t="str">
            <v>VIST US</v>
          </cell>
          <cell r="C467">
            <v>72.98</v>
          </cell>
          <cell r="D467">
            <v>71.53</v>
          </cell>
          <cell r="E467">
            <v>72.27</v>
          </cell>
          <cell r="F467">
            <v>71.58</v>
          </cell>
          <cell r="G467"/>
          <cell r="H467"/>
          <cell r="I467"/>
          <cell r="J467"/>
          <cell r="K467"/>
        </row>
        <row r="468">
          <cell r="B468" t="str">
            <v>AMD US</v>
          </cell>
          <cell r="C468">
            <v>531.28</v>
          </cell>
          <cell r="D468">
            <v>560.26</v>
          </cell>
          <cell r="E468">
            <v>578.44000000000005</v>
          </cell>
          <cell r="F468">
            <v>566.41999999999996</v>
          </cell>
          <cell r="G468"/>
          <cell r="H468"/>
          <cell r="I468"/>
          <cell r="J468"/>
          <cell r="K468"/>
        </row>
        <row r="469">
          <cell r="B469" t="str">
            <v>SID US</v>
          </cell>
          <cell r="C469">
            <v>0.91180000000000005</v>
          </cell>
          <cell r="D469">
            <v>0.87009999999999998</v>
          </cell>
          <cell r="E469">
            <v>0.80430000000000001</v>
          </cell>
          <cell r="F469">
            <v>0.77990000000000004</v>
          </cell>
          <cell r="G469"/>
          <cell r="H469"/>
          <cell r="I469"/>
          <cell r="J469"/>
          <cell r="K469"/>
        </row>
        <row r="470">
          <cell r="B470" t="str">
            <v>MSFT US</v>
          </cell>
          <cell r="C470">
            <v>532.6</v>
          </cell>
          <cell r="D470">
            <v>531.33000000000004</v>
          </cell>
          <cell r="E470">
            <v>531.01</v>
          </cell>
          <cell r="F470">
            <v>530.14</v>
          </cell>
          <cell r="G470"/>
          <cell r="H470"/>
          <cell r="I470"/>
          <cell r="J470"/>
          <cell r="K470"/>
        </row>
        <row r="471">
          <cell r="B471" t="str">
            <v>NU US</v>
          </cell>
          <cell r="C471">
            <v>12.59</v>
          </cell>
          <cell r="D471">
            <v>12.4</v>
          </cell>
          <cell r="E471">
            <v>11.97</v>
          </cell>
          <cell r="F471">
            <v>12.05</v>
          </cell>
          <cell r="G471"/>
          <cell r="H471"/>
          <cell r="I471"/>
          <cell r="J471"/>
          <cell r="K471"/>
        </row>
        <row r="472">
          <cell r="B472" t="str">
            <v>YPF US</v>
          </cell>
          <cell r="C472">
            <v>49.24</v>
          </cell>
          <cell r="D472">
            <v>48.45</v>
          </cell>
          <cell r="E472">
            <v>49.34</v>
          </cell>
          <cell r="F472">
            <v>47.81</v>
          </cell>
          <cell r="G472"/>
          <cell r="H472"/>
          <cell r="I472"/>
          <cell r="J472"/>
          <cell r="K472"/>
        </row>
        <row r="473">
          <cell r="B473" t="str">
            <v>TSLA US</v>
          </cell>
          <cell r="C473">
            <v>391.62</v>
          </cell>
          <cell r="D473">
            <v>407.46</v>
          </cell>
          <cell r="E473">
            <v>404.22</v>
          </cell>
          <cell r="F473">
            <v>403.3</v>
          </cell>
          <cell r="G473"/>
          <cell r="H473"/>
          <cell r="I473"/>
          <cell r="J473"/>
          <cell r="K473"/>
        </row>
        <row r="474"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</row>
        <row r="475">
          <cell r="B475" t="str">
            <v>ETF</v>
          </cell>
          <cell r="C475"/>
          <cell r="D475"/>
          <cell r="E475"/>
          <cell r="F475"/>
          <cell r="G475"/>
          <cell r="H475"/>
          <cell r="I475"/>
          <cell r="J475"/>
          <cell r="K475"/>
        </row>
        <row r="476">
          <cell r="B476"/>
          <cell r="C476"/>
          <cell r="D476"/>
          <cell r="E476"/>
          <cell r="F476"/>
          <cell r="G476"/>
          <cell r="H476"/>
          <cell r="I476"/>
          <cell r="J476"/>
          <cell r="K476"/>
        </row>
        <row r="477">
          <cell r="B477" t="str">
            <v>EWZ US</v>
          </cell>
          <cell r="C477">
            <v>34.15</v>
          </cell>
          <cell r="D477">
            <v>34.299999999999997</v>
          </cell>
          <cell r="E477">
            <v>33.619999999999997</v>
          </cell>
          <cell r="F477">
            <v>33.14</v>
          </cell>
          <cell r="G477"/>
          <cell r="H477"/>
          <cell r="I477"/>
          <cell r="J477"/>
          <cell r="K477"/>
        </row>
        <row r="478">
          <cell r="B478" t="str">
            <v>FLRN US</v>
          </cell>
          <cell r="C478">
            <v>30.81</v>
          </cell>
          <cell r="D478">
            <v>30.82</v>
          </cell>
          <cell r="E478">
            <v>30.83</v>
          </cell>
          <cell r="F478">
            <v>30.83</v>
          </cell>
          <cell r="G478"/>
          <cell r="H478"/>
          <cell r="I478"/>
          <cell r="J478"/>
          <cell r="K478"/>
        </row>
        <row r="479">
          <cell r="B479" t="str">
            <v>SDIA LN</v>
          </cell>
          <cell r="C479">
            <v>6.3929999999999998</v>
          </cell>
          <cell r="D479">
            <v>6.3710000000000004</v>
          </cell>
          <cell r="E479">
            <v>6.3659999999999997</v>
          </cell>
          <cell r="F479">
            <v>6.3879999999999999</v>
          </cell>
          <cell r="G479"/>
          <cell r="H479"/>
          <cell r="I479"/>
          <cell r="J479"/>
          <cell r="K479"/>
        </row>
        <row r="480">
          <cell r="B480" t="str">
            <v>EMCA LN</v>
          </cell>
          <cell r="C480">
            <v>6.6390000000000002</v>
          </cell>
          <cell r="D480">
            <v>6.6790000000000003</v>
          </cell>
          <cell r="E480">
            <v>6.6989999999999998</v>
          </cell>
          <cell r="F480">
            <v>6.7110000000000003</v>
          </cell>
          <cell r="G480"/>
          <cell r="H480"/>
          <cell r="I480"/>
          <cell r="J480"/>
          <cell r="K480"/>
        </row>
        <row r="481">
          <cell r="B481" t="str">
            <v>IGV US</v>
          </cell>
          <cell r="C481">
            <v>111.39</v>
          </cell>
          <cell r="D481">
            <v>111.78</v>
          </cell>
          <cell r="E481">
            <v>111.91</v>
          </cell>
          <cell r="F481">
            <v>107.97</v>
          </cell>
          <cell r="G481"/>
          <cell r="H481"/>
          <cell r="I481"/>
          <cell r="J481"/>
          <cell r="K481"/>
        </row>
        <row r="482">
          <cell r="B482"/>
          <cell r="C482"/>
          <cell r="D482"/>
          <cell r="E482"/>
          <cell r="F482"/>
          <cell r="G482"/>
          <cell r="H482"/>
          <cell r="I482"/>
          <cell r="J482"/>
          <cell r="K482"/>
        </row>
        <row r="483">
          <cell r="B483" t="str">
            <v>Funds</v>
          </cell>
          <cell r="C483"/>
          <cell r="D483"/>
          <cell r="E483"/>
          <cell r="F483"/>
          <cell r="G483"/>
          <cell r="H483"/>
          <cell r="I483"/>
          <cell r="J483"/>
          <cell r="K483"/>
        </row>
        <row r="484"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</row>
        <row r="485">
          <cell r="B485" t="str">
            <v>MUHYIU1 LX</v>
          </cell>
          <cell r="C485">
            <v>293.5</v>
          </cell>
          <cell r="D485">
            <v>293.82</v>
          </cell>
          <cell r="E485">
            <v>294.76</v>
          </cell>
          <cell r="F485">
            <v>295.37</v>
          </cell>
          <cell r="G485"/>
          <cell r="H485"/>
          <cell r="I485"/>
          <cell r="J485"/>
          <cell r="K485"/>
        </row>
        <row r="486">
          <cell r="B486" t="str">
            <v>MGCIF1U LX</v>
          </cell>
          <cell r="C486">
            <v>152.61000000000001</v>
          </cell>
          <cell r="D486">
            <v>152.56</v>
          </cell>
          <cell r="E486">
            <v>152.52000000000001</v>
          </cell>
          <cell r="F486">
            <v>152.65</v>
          </cell>
          <cell r="G486"/>
          <cell r="H486"/>
          <cell r="I486"/>
          <cell r="J486"/>
          <cell r="K486"/>
        </row>
        <row r="487"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</row>
        <row r="488">
          <cell r="B488" t="str">
            <v>Latam</v>
          </cell>
          <cell r="C488"/>
          <cell r="D488"/>
          <cell r="E488"/>
          <cell r="F488"/>
          <cell r="G488"/>
          <cell r="H488"/>
          <cell r="I488"/>
          <cell r="J488"/>
          <cell r="K488"/>
        </row>
        <row r="489"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</row>
        <row r="490">
          <cell r="B490" t="str">
            <v>CH27</v>
          </cell>
          <cell r="C490">
            <v>1.0017858333333336</v>
          </cell>
          <cell r="D490">
            <v>1.0018622222222222</v>
          </cell>
          <cell r="E490">
            <v>1.0019536111111111</v>
          </cell>
          <cell r="F490">
            <v>1.0021500000000001</v>
          </cell>
          <cell r="G490"/>
          <cell r="H490"/>
          <cell r="I490"/>
          <cell r="J490"/>
          <cell r="K490"/>
        </row>
        <row r="491">
          <cell r="B491" t="str">
            <v>CH28</v>
          </cell>
          <cell r="C491">
            <v>0.98468</v>
          </cell>
          <cell r="D491">
            <v>0.98474000000000006</v>
          </cell>
          <cell r="E491">
            <v>0.984935</v>
          </cell>
          <cell r="F491">
            <v>0.98531499999999994</v>
          </cell>
          <cell r="G491"/>
          <cell r="H491"/>
          <cell r="I491"/>
          <cell r="J491"/>
          <cell r="K491"/>
        </row>
        <row r="492">
          <cell r="B492" t="str">
            <v>BR27</v>
          </cell>
          <cell r="C492">
            <v>1.0717775</v>
          </cell>
          <cell r="D492">
            <v>1.07058875</v>
          </cell>
          <cell r="E492">
            <v>1.0710850000000001</v>
          </cell>
          <cell r="F492">
            <v>1.07305125</v>
          </cell>
          <cell r="G492"/>
          <cell r="H492"/>
          <cell r="I492"/>
          <cell r="J492"/>
          <cell r="K492"/>
        </row>
        <row r="493">
          <cell r="B493" t="str">
            <v>BR28</v>
          </cell>
          <cell r="C493">
            <v>1.0084561111111112</v>
          </cell>
          <cell r="D493">
            <v>1.0084345833333332</v>
          </cell>
          <cell r="E493">
            <v>1.0080580555555556</v>
          </cell>
          <cell r="F493">
            <v>1.0075665277777779</v>
          </cell>
          <cell r="G493"/>
          <cell r="H493"/>
          <cell r="I493"/>
          <cell r="J493"/>
          <cell r="K493"/>
        </row>
        <row r="494">
          <cell r="B494" t="str">
            <v>CDEL27</v>
          </cell>
          <cell r="C494">
            <v>0.99653472222222217</v>
          </cell>
          <cell r="D494">
            <v>0.99705541666666664</v>
          </cell>
          <cell r="E494">
            <v>0.99713111111111108</v>
          </cell>
          <cell r="F494">
            <v>0.99755180555555567</v>
          </cell>
          <cell r="G494"/>
          <cell r="H494"/>
          <cell r="I494"/>
          <cell r="J494"/>
          <cell r="K494"/>
        </row>
        <row r="495"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</row>
        <row r="496">
          <cell r="B496" t="str">
            <v>Futuros</v>
          </cell>
          <cell r="C496"/>
          <cell r="D496"/>
          <cell r="E496"/>
          <cell r="F496"/>
          <cell r="G496"/>
          <cell r="H496"/>
          <cell r="I496"/>
          <cell r="J496"/>
          <cell r="K496"/>
        </row>
        <row r="497"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 t="str">
            <v>FUTDLR102026</v>
          </cell>
          <cell r="C498">
            <v>1544.5</v>
          </cell>
          <cell r="D498">
            <v>1541</v>
          </cell>
          <cell r="E498">
            <v>1542.5</v>
          </cell>
          <cell r="F498">
            <v>1538</v>
          </cell>
          <cell r="G498"/>
          <cell r="H498"/>
          <cell r="I498"/>
          <cell r="J498"/>
          <cell r="K498"/>
        </row>
        <row r="499"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</row>
        <row r="500">
          <cell r="B500" t="str">
            <v>Futuros Soja</v>
          </cell>
          <cell r="C500"/>
          <cell r="D500"/>
          <cell r="E500"/>
          <cell r="F500"/>
          <cell r="G500"/>
          <cell r="H500"/>
          <cell r="I500"/>
          <cell r="J500"/>
          <cell r="K500"/>
        </row>
        <row r="501">
          <cell r="B501"/>
          <cell r="C501"/>
          <cell r="D501"/>
          <cell r="E501"/>
          <cell r="F501"/>
          <cell r="G501"/>
          <cell r="H501"/>
          <cell r="I501"/>
          <cell r="J501"/>
          <cell r="K501"/>
        </row>
        <row r="502">
          <cell r="B502" t="str">
            <v>FUTDLRMM1126</v>
          </cell>
          <cell r="C502">
            <v>562581.50652000005</v>
          </cell>
          <cell r="D502">
            <v>556254.87150000001</v>
          </cell>
          <cell r="E502">
            <v>553081.36705</v>
          </cell>
          <cell r="F502">
            <v>548095.10800000001</v>
          </cell>
          <cell r="G502"/>
          <cell r="H502"/>
          <cell r="I502"/>
          <cell r="J502"/>
          <cell r="K502"/>
        </row>
        <row r="503">
          <cell r="B503" t="str">
            <v>FUTDLRMM0527</v>
          </cell>
          <cell r="C503">
            <v>546868.6605</v>
          </cell>
          <cell r="D503">
            <v>542560.07660000003</v>
          </cell>
          <cell r="E503">
            <v>538927.40717000002</v>
          </cell>
          <cell r="F503">
            <v>536086.28260000004</v>
          </cell>
          <cell r="G503"/>
          <cell r="H503"/>
          <cell r="I503"/>
          <cell r="J503"/>
          <cell r="K503"/>
        </row>
        <row r="504">
          <cell r="B504" t="str">
            <v>FUTARSSRO1126</v>
          </cell>
          <cell r="C504">
            <v>562581.50652000005</v>
          </cell>
          <cell r="D504">
            <v>556254.87150000001</v>
          </cell>
          <cell r="E504">
            <v>553081.36705</v>
          </cell>
          <cell r="F504">
            <v>548095.10800000001</v>
          </cell>
          <cell r="G504"/>
          <cell r="H504"/>
          <cell r="I504"/>
          <cell r="J504"/>
          <cell r="K504"/>
        </row>
        <row r="505">
          <cell r="B505" t="str">
            <v>FUTARSSRO0127</v>
          </cell>
          <cell r="C505">
            <v>574135.06977000006</v>
          </cell>
          <cell r="D505">
            <v>568564.79949999996</v>
          </cell>
          <cell r="E505">
            <v>564927.61607999995</v>
          </cell>
          <cell r="F505">
            <v>559642.05550000002</v>
          </cell>
          <cell r="G505"/>
          <cell r="H505"/>
          <cell r="I505"/>
          <cell r="J505"/>
          <cell r="K505"/>
        </row>
        <row r="506">
          <cell r="B506" t="str">
            <v>FUTARSSRO0527</v>
          </cell>
          <cell r="C506">
            <v>546868.6605</v>
          </cell>
          <cell r="D506">
            <v>542560.07660000003</v>
          </cell>
          <cell r="E506">
            <v>538927.40717000002</v>
          </cell>
          <cell r="F506">
            <v>536086.28260000004</v>
          </cell>
          <cell r="G506"/>
          <cell r="H506"/>
          <cell r="I506"/>
          <cell r="J506"/>
          <cell r="K506"/>
        </row>
        <row r="507"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</row>
        <row r="508">
          <cell r="B508" t="str">
            <v>Treasury</v>
          </cell>
          <cell r="C508"/>
          <cell r="D508"/>
          <cell r="E508"/>
          <cell r="F508"/>
          <cell r="G508"/>
          <cell r="H508"/>
          <cell r="I508"/>
          <cell r="J508"/>
          <cell r="K508"/>
        </row>
        <row r="509"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</row>
        <row r="510">
          <cell r="B510" t="str">
            <v>US03112026</v>
          </cell>
          <cell r="C510">
            <v>0.9992606757718514</v>
          </cell>
          <cell r="D510">
            <v>0.99937143096397452</v>
          </cell>
          <cell r="E510">
            <v>0.99947725970170676</v>
          </cell>
          <cell r="F510">
            <v>0.99958262906575301</v>
          </cell>
          <cell r="G510"/>
          <cell r="H510"/>
          <cell r="I510"/>
          <cell r="J510"/>
          <cell r="K510"/>
        </row>
        <row r="511">
          <cell r="B511" t="str">
            <v>US19112026</v>
          </cell>
          <cell r="C511">
            <v>0.99755689297901917</v>
          </cell>
          <cell r="D511">
            <v>0.99764996853357324</v>
          </cell>
          <cell r="E511">
            <v>0.99776359354623323</v>
          </cell>
          <cell r="F511">
            <v>0.99788846800170838</v>
          </cell>
          <cell r="G511"/>
          <cell r="H511"/>
          <cell r="I511"/>
          <cell r="J511"/>
          <cell r="K511"/>
        </row>
        <row r="512">
          <cell r="B512" t="str">
            <v>US01122026</v>
          </cell>
          <cell r="C512">
            <v>0.99625355439044228</v>
          </cell>
          <cell r="D512">
            <v>0.99636843632328886</v>
          </cell>
          <cell r="E512">
            <v>0.99648321961161967</v>
          </cell>
          <cell r="F512">
            <v>0.99661293585023703</v>
          </cell>
          <cell r="G512"/>
          <cell r="H512"/>
          <cell r="I512"/>
          <cell r="J512"/>
          <cell r="K512"/>
        </row>
        <row r="513">
          <cell r="B513" t="str">
            <v>US10122026</v>
          </cell>
          <cell r="C513">
            <v>0.99528444591391452</v>
          </cell>
          <cell r="D513">
            <v>0.99538377004891765</v>
          </cell>
          <cell r="E513">
            <v>0.99551914921722529</v>
          </cell>
          <cell r="F513">
            <v>0.99564106975768207</v>
          </cell>
          <cell r="G513"/>
          <cell r="H513"/>
          <cell r="I513"/>
          <cell r="J513"/>
          <cell r="K513"/>
        </row>
        <row r="514">
          <cell r="B514" t="str">
            <v>US07012027</v>
          </cell>
          <cell r="C514">
            <v>0.99213796173611468</v>
          </cell>
          <cell r="D514">
            <v>0.99225722656520521</v>
          </cell>
          <cell r="E514">
            <v>0.99239321087763011</v>
          </cell>
          <cell r="F514">
            <v>0.99253551564682352</v>
          </cell>
          <cell r="G514"/>
          <cell r="H514"/>
          <cell r="I514"/>
          <cell r="J514"/>
          <cell r="K514"/>
        </row>
        <row r="515">
          <cell r="B515"/>
          <cell r="C515"/>
          <cell r="D515"/>
          <cell r="E515"/>
          <cell r="F515"/>
          <cell r="G515"/>
          <cell r="H515"/>
          <cell r="I515"/>
          <cell r="J515"/>
          <cell r="K515"/>
        </row>
        <row r="516">
          <cell r="B516" t="str">
            <v>Pagare $</v>
          </cell>
          <cell r="C516"/>
          <cell r="D516"/>
          <cell r="E516"/>
          <cell r="F516"/>
          <cell r="G516"/>
          <cell r="H516"/>
          <cell r="I516"/>
          <cell r="J516"/>
          <cell r="K516"/>
        </row>
        <row r="517">
          <cell r="B517"/>
          <cell r="C517"/>
          <cell r="D517"/>
          <cell r="E517"/>
          <cell r="F517"/>
          <cell r="G517"/>
          <cell r="H517"/>
          <cell r="I517"/>
          <cell r="J517"/>
          <cell r="K517"/>
        </row>
        <row r="518">
          <cell r="B518" t="str">
            <v>#MAV150270009</v>
          </cell>
          <cell r="C518">
            <v>0.91828519673945852</v>
          </cell>
          <cell r="D518">
            <v>0.91895566353634273</v>
          </cell>
          <cell r="E518">
            <v>0.91962711010330067</v>
          </cell>
          <cell r="F518">
            <v>0.92029953858954638</v>
          </cell>
          <cell r="G518"/>
          <cell r="H518"/>
          <cell r="I518"/>
          <cell r="J518"/>
          <cell r="K518"/>
        </row>
        <row r="519">
          <cell r="B519" t="str">
            <v>#MAV150270010</v>
          </cell>
          <cell r="C519">
            <v>0.91828519673945852</v>
          </cell>
          <cell r="D519">
            <v>0.91895566353634273</v>
          </cell>
          <cell r="E519">
            <v>0.91962711010330067</v>
          </cell>
          <cell r="F519">
            <v>0.92029953858954638</v>
          </cell>
          <cell r="G519"/>
          <cell r="H519"/>
          <cell r="I519"/>
          <cell r="J519"/>
          <cell r="K519"/>
        </row>
        <row r="520">
          <cell r="B520" t="str">
            <v>#MAV101260047</v>
          </cell>
          <cell r="C520">
            <v>0.96795794023854187</v>
          </cell>
          <cell r="D520">
            <v>0.96864766171108296</v>
          </cell>
          <cell r="E520">
            <v>0.96933836681091656</v>
          </cell>
          <cell r="F520">
            <v>0.97003005764370398</v>
          </cell>
          <cell r="G520"/>
          <cell r="H520"/>
          <cell r="I520"/>
          <cell r="J520"/>
          <cell r="K520"/>
        </row>
        <row r="521"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</row>
        <row r="522">
          <cell r="B522" t="str">
            <v>Pagarés USD</v>
          </cell>
          <cell r="C522"/>
          <cell r="D522"/>
          <cell r="E522"/>
          <cell r="F522"/>
          <cell r="G522"/>
          <cell r="H522"/>
          <cell r="I522"/>
          <cell r="J522"/>
          <cell r="K522"/>
        </row>
        <row r="523"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</row>
        <row r="524">
          <cell r="B524" t="str">
            <v>#UMV130170010</v>
          </cell>
          <cell r="C524">
            <v>1514.4187984809309</v>
          </cell>
          <cell r="D524">
            <v>1513.0339317055561</v>
          </cell>
          <cell r="E524">
            <v>1513.0912756687135</v>
          </cell>
          <cell r="F524">
            <v>1514.5122620063094</v>
          </cell>
          <cell r="G524"/>
          <cell r="H524"/>
          <cell r="I524"/>
          <cell r="J524"/>
          <cell r="K524"/>
        </row>
        <row r="525">
          <cell r="B525" t="str">
            <v>#UMV130170012</v>
          </cell>
          <cell r="C525">
            <v>1514.4187984809309</v>
          </cell>
          <cell r="D525">
            <v>1513.0339317055561</v>
          </cell>
          <cell r="E525">
            <v>1513.0912756687135</v>
          </cell>
          <cell r="F525">
            <v>1514.5122620063094</v>
          </cell>
          <cell r="G525"/>
          <cell r="H525"/>
          <cell r="I525"/>
          <cell r="J525"/>
          <cell r="K525"/>
        </row>
        <row r="526">
          <cell r="B526" t="str">
            <v>#UMV150270056</v>
          </cell>
          <cell r="C526">
            <v>1504.5573989165498</v>
          </cell>
          <cell r="D526">
            <v>1503.1794799737713</v>
          </cell>
          <cell r="E526">
            <v>1503.2343795383026</v>
          </cell>
          <cell r="F526">
            <v>1504.6440352577665</v>
          </cell>
          <cell r="G526"/>
          <cell r="H526"/>
          <cell r="I526"/>
          <cell r="J526"/>
          <cell r="K526"/>
        </row>
        <row r="527">
          <cell r="B527" t="str">
            <v>#UMV150270055</v>
          </cell>
          <cell r="C527">
            <v>1504.5573989165498</v>
          </cell>
          <cell r="D527">
            <v>1503.1794799737713</v>
          </cell>
          <cell r="E527">
            <v>1503.2343795383026</v>
          </cell>
          <cell r="F527">
            <v>1504.6440352577665</v>
          </cell>
          <cell r="G527"/>
          <cell r="H527"/>
          <cell r="I527"/>
          <cell r="J527"/>
          <cell r="K527"/>
        </row>
        <row r="528">
          <cell r="B528" t="str">
            <v>#UMV150370062</v>
          </cell>
          <cell r="C528">
            <v>1495.7600698568679</v>
          </cell>
          <cell r="D528">
            <v>1494.3883719630794</v>
          </cell>
          <cell r="E528">
            <v>1494.4411138123426</v>
          </cell>
          <cell r="F528">
            <v>1495.8406845260279</v>
          </cell>
          <cell r="G528"/>
          <cell r="H528"/>
          <cell r="I528"/>
          <cell r="J528"/>
          <cell r="K528"/>
        </row>
        <row r="529">
          <cell r="B529" t="str">
            <v>#UMV150370061</v>
          </cell>
          <cell r="C529">
            <v>1495.7600698568679</v>
          </cell>
          <cell r="D529">
            <v>1494.3883719630794</v>
          </cell>
          <cell r="E529">
            <v>1494.4411138123426</v>
          </cell>
          <cell r="F529">
            <v>1495.8406845260279</v>
          </cell>
          <cell r="G529"/>
          <cell r="H529"/>
          <cell r="I529"/>
          <cell r="J529"/>
          <cell r="K529"/>
        </row>
        <row r="530">
          <cell r="B530" t="str">
            <v>#UMV150170072</v>
          </cell>
          <cell r="C530">
            <v>1513.1391020845331</v>
          </cell>
          <cell r="D530">
            <v>1511.7551353846611</v>
          </cell>
          <cell r="E530">
            <v>1511.8121606086629</v>
          </cell>
          <cell r="F530">
            <v>1513.2316750525438</v>
          </cell>
          <cell r="G530"/>
          <cell r="H530"/>
          <cell r="I530"/>
          <cell r="J530"/>
          <cell r="K530"/>
        </row>
        <row r="531">
          <cell r="B531" t="str">
            <v>#UMV150170073</v>
          </cell>
          <cell r="C531">
            <v>1513.1391020845331</v>
          </cell>
          <cell r="D531">
            <v>1511.7551353846611</v>
          </cell>
          <cell r="E531">
            <v>1511.8121606086629</v>
          </cell>
          <cell r="F531">
            <v>1513.2316750525438</v>
          </cell>
          <cell r="G531"/>
          <cell r="H531"/>
          <cell r="I531"/>
          <cell r="J531"/>
          <cell r="K531"/>
        </row>
        <row r="532">
          <cell r="B532" t="str">
            <v>#UMV150370068</v>
          </cell>
          <cell r="C532">
            <v>1495.7600698568679</v>
          </cell>
          <cell r="D532">
            <v>1494.3883719630794</v>
          </cell>
          <cell r="E532">
            <v>1494.4411138123426</v>
          </cell>
          <cell r="F532">
            <v>1495.8406845260279</v>
          </cell>
          <cell r="G532"/>
          <cell r="H532"/>
          <cell r="I532"/>
          <cell r="J532"/>
          <cell r="K532"/>
        </row>
        <row r="533">
          <cell r="B533" t="str">
            <v>#UMV150370069</v>
          </cell>
          <cell r="C533">
            <v>1495.7600698568679</v>
          </cell>
          <cell r="D533">
            <v>1494.3883719630794</v>
          </cell>
          <cell r="E533">
            <v>1494.4411138123426</v>
          </cell>
          <cell r="F533">
            <v>1495.8406845260279</v>
          </cell>
          <cell r="G533"/>
          <cell r="H533"/>
          <cell r="I533"/>
          <cell r="J533"/>
          <cell r="K533"/>
        </row>
        <row r="534">
          <cell r="B534" t="str">
            <v>#UMV080470014</v>
          </cell>
          <cell r="C534">
            <v>1488.3009763218461</v>
          </cell>
          <cell r="D534">
            <v>1486.934570061713</v>
          </cell>
          <cell r="E534">
            <v>1486.9854993598374</v>
          </cell>
          <cell r="F534">
            <v>1488.3765361796802</v>
          </cell>
          <cell r="G534"/>
          <cell r="H534"/>
          <cell r="I534"/>
          <cell r="J534"/>
          <cell r="K534"/>
        </row>
        <row r="535">
          <cell r="B535" t="str">
            <v>#UMV110270016</v>
          </cell>
          <cell r="C535">
            <v>1505.8226149204806</v>
          </cell>
          <cell r="D535">
            <v>1504.443803054208</v>
          </cell>
          <cell r="E535">
            <v>1504.4990147156338</v>
          </cell>
          <cell r="F535">
            <v>1505.9101226270488</v>
          </cell>
          <cell r="G535"/>
          <cell r="H535"/>
          <cell r="I535"/>
          <cell r="J535"/>
          <cell r="K535"/>
        </row>
        <row r="536">
          <cell r="B536" t="str">
            <v>#UMV150470068</v>
          </cell>
          <cell r="C536">
            <v>1486.1394005471197</v>
          </cell>
          <cell r="D536">
            <v>1484.7745306549748</v>
          </cell>
          <cell r="E536">
            <v>1484.8249375971739</v>
          </cell>
          <cell r="F536">
            <v>1486.2135042891016</v>
          </cell>
          <cell r="G536"/>
          <cell r="H536"/>
          <cell r="I536"/>
          <cell r="J536"/>
          <cell r="K536"/>
        </row>
        <row r="537">
          <cell r="B537" t="str">
            <v>#UMV250270018</v>
          </cell>
          <cell r="C537">
            <v>1501.4036411360794</v>
          </cell>
          <cell r="D537">
            <v>1500.0279498958389</v>
          </cell>
          <cell r="E537">
            <v>1500.0820734543192</v>
          </cell>
          <cell r="F537">
            <v>1501.4881113014112</v>
          </cell>
          <cell r="G537"/>
          <cell r="H537"/>
          <cell r="I537"/>
          <cell r="J537"/>
          <cell r="K537"/>
        </row>
        <row r="538">
          <cell r="B538" t="str">
            <v>#UMV290370010</v>
          </cell>
          <cell r="C538">
            <v>1491.399872152102</v>
          </cell>
          <cell r="D538">
            <v>1490.0312655863656</v>
          </cell>
          <cell r="E538">
            <v>1490.0829460254449</v>
          </cell>
          <cell r="F538">
            <v>1491.4775263751576</v>
          </cell>
          <cell r="G538"/>
          <cell r="H538"/>
          <cell r="I538"/>
          <cell r="J538"/>
          <cell r="K538"/>
        </row>
        <row r="539">
          <cell r="B539" t="str">
            <v>#UMV040370018</v>
          </cell>
          <cell r="C539">
            <v>1499.2038659051641</v>
          </cell>
          <cell r="D539">
            <v>1497.8297301513855</v>
          </cell>
          <cell r="E539">
            <v>1497.8833140832937</v>
          </cell>
          <cell r="F539">
            <v>1499.2868300817074</v>
          </cell>
          <cell r="G539"/>
          <cell r="H539"/>
          <cell r="I539"/>
          <cell r="J539"/>
          <cell r="K539"/>
        </row>
        <row r="540">
          <cell r="B540" t="str">
            <v>#UMV110370016</v>
          </cell>
          <cell r="C540">
            <v>1497.0105272266192</v>
          </cell>
          <cell r="D540">
            <v>1495.6379437525131</v>
          </cell>
          <cell r="E540">
            <v>1495.6909909825924</v>
          </cell>
          <cell r="F540">
            <v>1497.0919938619254</v>
          </cell>
          <cell r="G540"/>
          <cell r="H540"/>
          <cell r="I540"/>
          <cell r="J540"/>
          <cell r="K540"/>
        </row>
        <row r="541">
          <cell r="B541" t="str">
            <v>#UMV210170045</v>
          </cell>
          <cell r="C541">
            <v>1512.5000645593423</v>
          </cell>
          <cell r="D541">
            <v>1511.1165474981335</v>
          </cell>
          <cell r="E541">
            <v>1511.1734137257329</v>
          </cell>
          <cell r="F541">
            <v>1512.592193327062</v>
          </cell>
          <cell r="G541"/>
          <cell r="H541"/>
          <cell r="I541"/>
          <cell r="J541"/>
          <cell r="K541"/>
        </row>
        <row r="542">
          <cell r="B542" t="str">
            <v>#UMV280170011</v>
          </cell>
          <cell r="C542">
            <v>1510.2676775883997</v>
          </cell>
          <cell r="D542">
            <v>1508.8857321705866</v>
          </cell>
          <cell r="E542">
            <v>1508.9420438621123</v>
          </cell>
          <cell r="F542">
            <v>1510.3582572937526</v>
          </cell>
          <cell r="G542"/>
          <cell r="H542"/>
          <cell r="I542"/>
          <cell r="J542"/>
          <cell r="K542"/>
        </row>
        <row r="543">
          <cell r="B543" t="str">
            <v>#UMV070170014</v>
          </cell>
          <cell r="C543">
            <v>1516.9846958872477</v>
          </cell>
          <cell r="D543">
            <v>1515.5980257627702</v>
          </cell>
          <cell r="E543">
            <v>1515.6560102025669</v>
          </cell>
          <cell r="F543">
            <v>1517.0799491923281</v>
          </cell>
          <cell r="G543"/>
          <cell r="H543"/>
          <cell r="I543"/>
          <cell r="J543"/>
          <cell r="K543"/>
        </row>
        <row r="544">
          <cell r="B544" t="str">
            <v>#UMV010670037</v>
          </cell>
          <cell r="C544">
            <v>1471.1824085569669</v>
          </cell>
          <cell r="D544">
            <v>1469.8282052691218</v>
          </cell>
          <cell r="E544">
            <v>1469.8750335375469</v>
          </cell>
          <cell r="F544">
            <v>1471.2465441045565</v>
          </cell>
          <cell r="G544"/>
          <cell r="H544"/>
          <cell r="I544"/>
          <cell r="J544"/>
          <cell r="K544"/>
        </row>
        <row r="545">
          <cell r="B545" t="str">
            <v>#UMV290670004</v>
          </cell>
          <cell r="C545">
            <v>1462.769954694392</v>
          </cell>
          <cell r="D545">
            <v>1461.4217781952639</v>
          </cell>
          <cell r="E545">
            <v>1461.4666211213262</v>
          </cell>
          <cell r="F545">
            <v>1462.8285661479513</v>
          </cell>
          <cell r="G545"/>
          <cell r="H545"/>
          <cell r="I545"/>
          <cell r="J545"/>
          <cell r="K545"/>
        </row>
        <row r="546">
          <cell r="B546" t="str">
            <v>#UMV150470071</v>
          </cell>
          <cell r="C546">
            <v>1484.9070311282712</v>
          </cell>
          <cell r="D546">
            <v>1483.5430377423029</v>
          </cell>
          <cell r="E546">
            <v>1483.5931474602512</v>
          </cell>
          <cell r="F546">
            <v>1484.9803064555979</v>
          </cell>
          <cell r="G546"/>
          <cell r="H546"/>
          <cell r="I546"/>
          <cell r="J546"/>
          <cell r="K546"/>
        </row>
        <row r="547">
          <cell r="B547" t="str">
            <v>#UMV040570009</v>
          </cell>
          <cell r="C547">
            <v>1479.6921828926022</v>
          </cell>
          <cell r="D547">
            <v>1478.3319031888714</v>
          </cell>
          <cell r="E547">
            <v>1478.3807598795797</v>
          </cell>
          <cell r="F547">
            <v>1479.7619668315087</v>
          </cell>
          <cell r="G547"/>
          <cell r="H547"/>
          <cell r="I547"/>
          <cell r="J547"/>
          <cell r="K547"/>
        </row>
        <row r="548">
          <cell r="B548" t="str">
            <v>#UMV140170021</v>
          </cell>
          <cell r="C548">
            <v>1513.4588233869115</v>
          </cell>
          <cell r="D548">
            <v>1512.0746317679714</v>
          </cell>
          <cell r="E548">
            <v>1512.1317365833825</v>
          </cell>
          <cell r="F548">
            <v>1513.5516187244129</v>
          </cell>
          <cell r="G548"/>
          <cell r="H548"/>
          <cell r="I548"/>
          <cell r="J548"/>
          <cell r="K548"/>
        </row>
        <row r="549">
          <cell r="B549" t="str">
            <v>#UMV200470019</v>
          </cell>
          <cell r="C549">
            <v>1484.5992580613222</v>
          </cell>
          <cell r="D549">
            <v>1483.235483640954</v>
          </cell>
          <cell r="E549">
            <v>1483.2855191960493</v>
          </cell>
          <cell r="F549">
            <v>1484.6723266984059</v>
          </cell>
          <cell r="G549"/>
        </row>
        <row r="550">
          <cell r="B550" t="str">
            <v>#UMV200470018</v>
          </cell>
          <cell r="C550">
            <v>1484.5992580613222</v>
          </cell>
          <cell r="D550">
            <v>1483.235483640954</v>
          </cell>
          <cell r="E550">
            <v>1483.2855191960493</v>
          </cell>
          <cell r="F550">
            <v>1484.6723266984059</v>
          </cell>
          <cell r="G550"/>
        </row>
        <row r="551">
          <cell r="B551" t="str">
            <v>#UMV200470017</v>
          </cell>
          <cell r="C551">
            <v>1484.5992580613222</v>
          </cell>
          <cell r="D551">
            <v>1483.235483640954</v>
          </cell>
          <cell r="E551">
            <v>1483.2855191960493</v>
          </cell>
          <cell r="F551">
            <v>1484.6723266984059</v>
          </cell>
          <cell r="G551"/>
        </row>
        <row r="552">
          <cell r="B552" t="str">
            <v>#UMV200470016</v>
          </cell>
          <cell r="C552">
            <v>1484.5992580613222</v>
          </cell>
          <cell r="D552">
            <v>1483.235483640954</v>
          </cell>
          <cell r="E552">
            <v>1483.2855191960493</v>
          </cell>
          <cell r="F552">
            <v>1484.6723266984059</v>
          </cell>
          <cell r="G552"/>
        </row>
        <row r="553">
          <cell r="B553" t="str">
            <v>#UMV040570010</v>
          </cell>
          <cell r="C553">
            <v>1480.3037925528483</v>
          </cell>
          <cell r="D553">
            <v>1478.9430769068724</v>
          </cell>
          <cell r="E553">
            <v>1478.9920801623475</v>
          </cell>
          <cell r="F553">
            <v>1480.3739847892921</v>
          </cell>
          <cell r="G553"/>
        </row>
        <row r="554">
          <cell r="B554" t="str">
            <v>#UMV180570011</v>
          </cell>
          <cell r="C554">
            <v>1476.0331119047717</v>
          </cell>
          <cell r="D554">
            <v>1474.6754424889129</v>
          </cell>
          <cell r="E554">
            <v>1474.7234245105751</v>
          </cell>
          <cell r="F554">
            <v>1476.1004596795378</v>
          </cell>
          <cell r="G554"/>
        </row>
        <row r="555">
          <cell r="B555" t="str">
            <v>#UMV010670043</v>
          </cell>
          <cell r="C555">
            <v>1471.7870022210036</v>
          </cell>
          <cell r="D555">
            <v>1470.43236655531</v>
          </cell>
          <cell r="E555">
            <v>1470.4793382694713</v>
          </cell>
          <cell r="F555">
            <v>1471.8515370653145</v>
          </cell>
          <cell r="G555"/>
        </row>
        <row r="556">
          <cell r="B556" t="str">
            <v>#UMV220670013</v>
          </cell>
          <cell r="C556">
            <v>1465.4634463867308</v>
          </cell>
          <cell r="D556">
            <v>1464.1133380864928</v>
          </cell>
          <cell r="E556">
            <v>1464.158814526264</v>
          </cell>
          <cell r="F556">
            <v>1465.5238200796721</v>
          </cell>
          <cell r="G556"/>
        </row>
        <row r="557">
          <cell r="B557" t="str">
            <v>#UMV200770025</v>
          </cell>
          <cell r="C557">
            <v>1456.5234808490356</v>
          </cell>
          <cell r="D557">
            <v>1455.1797921802677</v>
          </cell>
          <cell r="E557">
            <v>1455.2231737245418</v>
          </cell>
          <cell r="F557">
            <v>1456.5780289137579</v>
          </cell>
          <cell r="G557"/>
        </row>
        <row r="558">
          <cell r="B558" t="str">
            <v>#UMV100870044</v>
          </cell>
          <cell r="C558">
            <v>1450.3301288541129</v>
          </cell>
          <cell r="D558">
            <v>1448.9909006006067</v>
          </cell>
          <cell r="E558">
            <v>1449.0328439512348</v>
          </cell>
          <cell r="F558">
            <v>1450.3806803957145</v>
          </cell>
          <cell r="G558"/>
        </row>
        <row r="559">
          <cell r="B559" t="str">
            <v>#UMV080970009</v>
          </cell>
          <cell r="C559">
            <v>1441.8634883309442</v>
          </cell>
          <cell r="D559">
            <v>1440.5303750213204</v>
          </cell>
          <cell r="E559">
            <v>1440.5703696197595</v>
          </cell>
          <cell r="F559">
            <v>1441.9086284647606</v>
          </cell>
          <cell r="G559"/>
        </row>
        <row r="560">
          <cell r="B560" t="str">
            <v>#UMV220770015</v>
          </cell>
          <cell r="C560">
            <v>1455.3397199962728</v>
          </cell>
          <cell r="D560">
            <v>1453.9968830375371</v>
          </cell>
          <cell r="E560">
            <v>1454.0399888657282</v>
          </cell>
          <cell r="F560">
            <v>1455.3935017022065</v>
          </cell>
          <cell r="G560"/>
        </row>
        <row r="561">
          <cell r="B561" t="str">
            <v>#UMV190870007</v>
          </cell>
          <cell r="C561">
            <v>1447.1069656414875</v>
          </cell>
          <cell r="D561">
            <v>1445.7700629261092</v>
          </cell>
          <cell r="E561">
            <v>1445.8112620464324</v>
          </cell>
          <cell r="F561">
            <v>1447.1554500282632</v>
          </cell>
          <cell r="G561"/>
        </row>
        <row r="562">
          <cell r="B562" t="str">
            <v>#UMV010970022</v>
          </cell>
          <cell r="C562">
            <v>1443.8980967531943</v>
          </cell>
          <cell r="D562">
            <v>1442.5635121424996</v>
          </cell>
          <cell r="E562">
            <v>1442.6039732156046</v>
          </cell>
          <cell r="F562">
            <v>1443.9445318080675</v>
          </cell>
          <cell r="G562"/>
        </row>
        <row r="563">
          <cell r="B563" t="str">
            <v>#UMV230970007</v>
          </cell>
          <cell r="C563">
            <v>1436.9460870565235</v>
          </cell>
          <cell r="D563">
            <v>1435.6165344730189</v>
          </cell>
          <cell r="E563">
            <v>1435.6554064332381</v>
          </cell>
          <cell r="F563">
            <v>1436.9881118595003</v>
          </cell>
          <cell r="G563"/>
        </row>
        <row r="564">
          <cell r="B564" t="str">
            <v>#UMV120870008</v>
          </cell>
          <cell r="C564">
            <v>1448.8632765493626</v>
          </cell>
          <cell r="D564">
            <v>1447.5251062820794</v>
          </cell>
          <cell r="E564">
            <v>1447.5667105758375</v>
          </cell>
          <cell r="F564">
            <v>1448.9128862543782</v>
          </cell>
          <cell r="G564"/>
        </row>
      </sheetData>
      <sheetData sheetId="5"/>
      <sheetData sheetId="6"/>
      <sheetData sheetId="7"/>
      <sheetData sheetId="8">
        <row r="7">
          <cell r="I7" t="str">
            <v>Resumen - Pagarés Horizonte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30O6"/>
      <sheetName val="S13N6"/>
      <sheetName val="S30N6"/>
      <sheetName val="S29E7"/>
      <sheetName val="TTD26"/>
      <sheetName val="S26F7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TTS26"/>
      <sheetName val="S16O6"/>
      <sheetName val="TO26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>
            <v>46311</v>
          </cell>
          <cell r="N495">
            <v>24.625</v>
          </cell>
          <cell r="P495">
            <v>38447</v>
          </cell>
          <cell r="Q495">
            <v>1.5869120000000001</v>
          </cell>
        </row>
        <row r="496">
          <cell r="M496">
            <v>46314</v>
          </cell>
          <cell r="N496">
            <v>24</v>
          </cell>
          <cell r="P496">
            <v>38448</v>
          </cell>
          <cell r="Q496">
            <v>1.587413</v>
          </cell>
        </row>
        <row r="497">
          <cell r="M497">
            <v>46315</v>
          </cell>
          <cell r="N497">
            <v>24.375</v>
          </cell>
          <cell r="P497">
            <v>38449</v>
          </cell>
          <cell r="Q497">
            <v>1.5882229999999999</v>
          </cell>
        </row>
        <row r="498">
          <cell r="M498">
            <v>46316</v>
          </cell>
          <cell r="N498">
            <v>24.1875</v>
          </cell>
          <cell r="P498">
            <v>38450</v>
          </cell>
          <cell r="Q498">
            <v>1.5890329999999999</v>
          </cell>
        </row>
        <row r="499">
          <cell r="M499">
            <v>46317</v>
          </cell>
          <cell r="N499">
            <v>24.5</v>
          </cell>
          <cell r="P499">
            <v>38451</v>
          </cell>
          <cell r="Q499">
            <v>1.589844</v>
          </cell>
        </row>
        <row r="500">
          <cell r="M500">
            <v>46318</v>
          </cell>
          <cell r="N500">
            <v>24.375</v>
          </cell>
          <cell r="P500">
            <v>38452</v>
          </cell>
          <cell r="Q500">
            <v>1.5906549999999999</v>
          </cell>
        </row>
        <row r="501">
          <cell r="M501">
            <v>46321</v>
          </cell>
          <cell r="N501">
            <v>24.125</v>
          </cell>
          <cell r="P501">
            <v>38453</v>
          </cell>
          <cell r="Q501">
            <v>1.591466</v>
          </cell>
        </row>
        <row r="502">
          <cell r="M502">
            <v>46322</v>
          </cell>
          <cell r="N502">
            <v>24.5625</v>
          </cell>
          <cell r="P502">
            <v>38454</v>
          </cell>
          <cell r="Q502">
            <v>1.5922780000000001</v>
          </cell>
        </row>
        <row r="503">
          <cell r="M503">
            <v>46323</v>
          </cell>
          <cell r="N503">
            <v>23.5625</v>
          </cell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73"/>
  <sheetViews>
    <sheetView workbookViewId="0">
      <pane ySplit="1" topLeftCell="A140" activePane="bottomLeft" state="frozen"/>
      <selection pane="bottomLeft" activeCell="A164" sqref="A164"/>
    </sheetView>
  </sheetViews>
  <sheetFormatPr baseColWidth="10" defaultRowHeight="15" x14ac:dyDescent="0.25"/>
  <sheetData>
    <row r="1" spans="1:17" x14ac:dyDescent="0.25">
      <c r="A1" t="s">
        <v>2</v>
      </c>
      <c r="B1" s="9" t="s">
        <v>15</v>
      </c>
      <c r="C1" t="s">
        <v>7</v>
      </c>
      <c r="D1" t="s">
        <v>3</v>
      </c>
      <c r="E1" t="s">
        <v>23</v>
      </c>
      <c r="F1" s="9" t="s">
        <v>16</v>
      </c>
      <c r="G1" t="s">
        <v>11</v>
      </c>
      <c r="H1" s="9" t="s">
        <v>17</v>
      </c>
      <c r="J1" s="9" t="s">
        <v>20</v>
      </c>
      <c r="K1" t="s">
        <v>13</v>
      </c>
      <c r="L1" s="9" t="s">
        <v>19</v>
      </c>
      <c r="M1" t="s">
        <v>14</v>
      </c>
      <c r="N1" s="9" t="s">
        <v>18</v>
      </c>
      <c r="P1" t="s">
        <v>4</v>
      </c>
      <c r="Q1" t="s">
        <v>12</v>
      </c>
    </row>
    <row r="2" spans="1:17" x14ac:dyDescent="0.25">
      <c r="A2" s="7">
        <v>46072</v>
      </c>
      <c r="B2" s="9">
        <v>1.0255000000000369</v>
      </c>
      <c r="C2">
        <v>121.4499999999918</v>
      </c>
      <c r="F2" s="9">
        <v>1.0959999999939141</v>
      </c>
      <c r="G2">
        <v>103.70000000000471</v>
      </c>
      <c r="H2" s="9">
        <v>1.0525000000000342</v>
      </c>
      <c r="J2" s="9">
        <v>1.0039999999997464</v>
      </c>
      <c r="L2" s="9">
        <v>0.99499999999518851</v>
      </c>
      <c r="M2" s="9">
        <v>1.0390000000000437</v>
      </c>
      <c r="N2" s="9">
        <v>3.1489999999999956</v>
      </c>
      <c r="P2">
        <v>102.99999999941318</v>
      </c>
    </row>
    <row r="3" spans="1:17" x14ac:dyDescent="0.25">
      <c r="A3" s="7">
        <v>46073</v>
      </c>
      <c r="B3" s="9">
        <v>1.0275000000000187</v>
      </c>
      <c r="C3">
        <v>121.79999999999124</v>
      </c>
      <c r="F3" s="9">
        <v>1.10149999999524</v>
      </c>
      <c r="G3">
        <v>104.14999999893084</v>
      </c>
      <c r="H3" s="9">
        <v>1.0550000000000848</v>
      </c>
      <c r="J3" s="9">
        <v>1.0052499999997973</v>
      </c>
      <c r="L3" s="9">
        <v>0.98999999999997823</v>
      </c>
      <c r="M3" s="9">
        <v>1.0385000000000253</v>
      </c>
      <c r="N3" s="9">
        <v>3.1950000000001011</v>
      </c>
      <c r="P3">
        <v>104.89999999968605</v>
      </c>
    </row>
    <row r="4" spans="1:17" x14ac:dyDescent="0.25">
      <c r="A4" s="7">
        <v>46076</v>
      </c>
      <c r="B4" s="9">
        <v>1.0294000000000267</v>
      </c>
      <c r="C4">
        <v>121.89999999998918</v>
      </c>
      <c r="F4" s="9">
        <v>1.1029999999954871</v>
      </c>
      <c r="G4">
        <v>103.50000000000973</v>
      </c>
      <c r="H4" s="9">
        <v>1.0519999999999896</v>
      </c>
      <c r="J4" s="9">
        <v>1.0084999999998279</v>
      </c>
      <c r="L4" s="9">
        <v>1.033000000000005</v>
      </c>
      <c r="M4" s="9">
        <v>0.9999999999992718</v>
      </c>
      <c r="N4" s="9">
        <v>3.1829999999999679</v>
      </c>
      <c r="P4">
        <v>103.99999999937211</v>
      </c>
    </row>
    <row r="5" spans="1:17" x14ac:dyDescent="0.25">
      <c r="A5" s="7">
        <v>46077</v>
      </c>
      <c r="B5" s="9">
        <v>1.0389499999999909</v>
      </c>
      <c r="C5">
        <v>123.55000000000049</v>
      </c>
      <c r="F5" s="9">
        <v>1.1159999999973647</v>
      </c>
      <c r="G5">
        <v>105.14999999930235</v>
      </c>
      <c r="H5" s="9">
        <v>1.0614999999999595</v>
      </c>
      <c r="J5" s="9">
        <v>1.0114999999998535</v>
      </c>
      <c r="L5" s="9">
        <v>1.004999999997616</v>
      </c>
      <c r="M5" s="9">
        <v>1.0089999999997927</v>
      </c>
      <c r="N5" s="9">
        <v>3.1779999999999733</v>
      </c>
      <c r="P5">
        <v>103.50000000000152</v>
      </c>
    </row>
    <row r="6" spans="1:17" x14ac:dyDescent="0.25">
      <c r="A6" s="7">
        <v>46078</v>
      </c>
      <c r="B6" s="9">
        <v>1.0409999999999873</v>
      </c>
      <c r="C6">
        <v>123.59999999999873</v>
      </c>
      <c r="F6" s="9">
        <v>1.1189999999977578</v>
      </c>
      <c r="G6">
        <v>105.49999999939821</v>
      </c>
      <c r="H6" s="9">
        <v>1.0615000000000072</v>
      </c>
      <c r="J6" s="9">
        <v>1.0114999999998486</v>
      </c>
      <c r="L6" s="9">
        <v>1.004999999997251</v>
      </c>
      <c r="M6" s="9"/>
      <c r="N6" s="9">
        <v>3.1705000000001764</v>
      </c>
      <c r="P6">
        <v>104.90000000000501</v>
      </c>
    </row>
    <row r="7" spans="1:17" x14ac:dyDescent="0.25">
      <c r="A7" s="7">
        <v>46079</v>
      </c>
      <c r="B7" s="9">
        <v>1.042009999999967</v>
      </c>
      <c r="C7">
        <v>124.14999999999895</v>
      </c>
      <c r="F7" s="9">
        <v>1.1254999999983901</v>
      </c>
      <c r="G7">
        <v>105.99999999950973</v>
      </c>
      <c r="H7" s="9">
        <v>1.0749999999899797</v>
      </c>
      <c r="J7" s="9">
        <v>1.0169999999999662</v>
      </c>
      <c r="L7" s="9">
        <v>1.009999999998396</v>
      </c>
      <c r="M7" s="9">
        <v>1.026000000000066</v>
      </c>
      <c r="N7" s="9">
        <v>3.2039999999999678</v>
      </c>
      <c r="P7">
        <v>103.50000000000257</v>
      </c>
    </row>
    <row r="8" spans="1:17" x14ac:dyDescent="0.25">
      <c r="A8" s="7">
        <v>46080</v>
      </c>
      <c r="B8" s="9">
        <v>1.0489999999999859</v>
      </c>
      <c r="C8">
        <v>124.50000000000203</v>
      </c>
      <c r="F8" s="9">
        <v>1.1284999999985121</v>
      </c>
      <c r="G8">
        <v>105.99999999951297</v>
      </c>
      <c r="H8" s="9">
        <v>1.103999999997076</v>
      </c>
      <c r="J8" s="9">
        <v>1.0244999999999562</v>
      </c>
      <c r="L8" s="9">
        <v>1.0400000000001015</v>
      </c>
      <c r="M8" s="9">
        <v>1.0290000000000044</v>
      </c>
      <c r="N8" s="9">
        <v>3.2499999999773217</v>
      </c>
      <c r="P8">
        <v>104.89999999999642</v>
      </c>
    </row>
    <row r="9" spans="1:17" x14ac:dyDescent="0.25">
      <c r="A9" s="7">
        <v>46083</v>
      </c>
      <c r="B9" s="9">
        <v>1.0555000000000447</v>
      </c>
      <c r="C9">
        <v>124.79999999999687</v>
      </c>
      <c r="F9" s="9">
        <v>1.1284999999984553</v>
      </c>
      <c r="G9">
        <v>106.74999999965307</v>
      </c>
      <c r="H9" s="9">
        <v>1.0909999999948847</v>
      </c>
      <c r="J9" s="9">
        <v>1.0239999999999734</v>
      </c>
      <c r="L9" s="9">
        <v>1.0199999999993843</v>
      </c>
      <c r="M9" s="9">
        <v>1.0290000000000237</v>
      </c>
      <c r="N9" s="9">
        <v>3.2554999999793024</v>
      </c>
      <c r="P9">
        <v>106.99999999972248</v>
      </c>
    </row>
    <row r="10" spans="1:17" x14ac:dyDescent="0.25">
      <c r="A10" s="7">
        <v>46084</v>
      </c>
      <c r="B10" s="9">
        <v>1.0584999999999973</v>
      </c>
      <c r="C10">
        <v>124.30000000000105</v>
      </c>
      <c r="F10" s="9">
        <v>1.1219999999980719</v>
      </c>
      <c r="G10">
        <v>106.6999999996502</v>
      </c>
      <c r="H10" s="9">
        <v>1.0839999999930721</v>
      </c>
      <c r="J10" s="9">
        <v>1.0269999999999477</v>
      </c>
      <c r="L10" s="9">
        <v>1.0299999999997191</v>
      </c>
      <c r="M10" s="9">
        <v>1.0290000000000428</v>
      </c>
      <c r="N10" s="9">
        <v>3.2324999999997717</v>
      </c>
      <c r="P10">
        <v>106.79999999978268</v>
      </c>
    </row>
    <row r="11" spans="1:17" x14ac:dyDescent="0.25">
      <c r="A11" s="7">
        <v>46085</v>
      </c>
      <c r="B11" s="9">
        <v>1.0574999999999493</v>
      </c>
      <c r="C11">
        <v>124.59999999999923</v>
      </c>
      <c r="F11" s="9">
        <v>1.1249999999983304</v>
      </c>
      <c r="G11">
        <v>106.74999999964984</v>
      </c>
      <c r="H11" s="9">
        <v>1.0849999999935449</v>
      </c>
      <c r="J11" s="9">
        <v>1.0299999999999416</v>
      </c>
      <c r="L11" s="9">
        <v>1.0399999999999416</v>
      </c>
      <c r="M11" s="9">
        <v>0.99799999999567179</v>
      </c>
      <c r="N11" s="9">
        <v>3.2490000000001835</v>
      </c>
      <c r="P11">
        <v>106.79999999987135</v>
      </c>
    </row>
    <row r="12" spans="1:17" x14ac:dyDescent="0.25">
      <c r="A12" s="7">
        <v>46086</v>
      </c>
      <c r="B12" s="9">
        <v>1.0523600000000179</v>
      </c>
      <c r="C12">
        <v>124.60000000000102</v>
      </c>
      <c r="F12" s="9">
        <v>1.1244999999982772</v>
      </c>
      <c r="G12">
        <v>106.49999999960409</v>
      </c>
      <c r="H12" s="9">
        <v>1.0774999999910853</v>
      </c>
      <c r="J12" s="9">
        <v>1.032000000000004</v>
      </c>
      <c r="L12" s="10">
        <v>1.0675000000000372</v>
      </c>
      <c r="M12" s="9">
        <v>1.0390000000000099</v>
      </c>
      <c r="N12" s="9">
        <v>3.2459999999998952</v>
      </c>
      <c r="P12">
        <v>105.19999999983145</v>
      </c>
    </row>
    <row r="13" spans="1:17" x14ac:dyDescent="0.25">
      <c r="A13" s="7">
        <v>46087</v>
      </c>
      <c r="B13" s="9">
        <v>1.0480000000000138</v>
      </c>
      <c r="C13">
        <v>124.64999999999526</v>
      </c>
      <c r="F13" s="9">
        <v>1.123999999998156</v>
      </c>
      <c r="G13">
        <v>105.9999999995149</v>
      </c>
      <c r="H13" s="9">
        <v>1.0749999999900617</v>
      </c>
      <c r="J13" s="9">
        <v>1.0349999999999961</v>
      </c>
      <c r="L13" s="9"/>
      <c r="M13" s="9">
        <v>1.045499999999989</v>
      </c>
      <c r="N13" s="9">
        <v>3.2410000000000663</v>
      </c>
      <c r="P13">
        <v>104.99999999984149</v>
      </c>
    </row>
    <row r="14" spans="1:17" x14ac:dyDescent="0.25">
      <c r="A14" s="7">
        <v>46090</v>
      </c>
      <c r="B14" s="9">
        <v>1.044999999999999</v>
      </c>
      <c r="C14">
        <v>124.99999999999638</v>
      </c>
      <c r="F14" s="9">
        <v>1.1249999999982796</v>
      </c>
      <c r="G14">
        <v>105.74999999945535</v>
      </c>
      <c r="H14" s="9">
        <v>1.0744999999898392</v>
      </c>
      <c r="J14" s="9">
        <v>1.0358999999999625</v>
      </c>
      <c r="L14" s="10">
        <v>1.0675000000000372</v>
      </c>
      <c r="M14" s="9">
        <v>1.0395000000000292</v>
      </c>
      <c r="N14" s="9">
        <v>3.24999999999975</v>
      </c>
      <c r="P14">
        <v>104.54999999980792</v>
      </c>
    </row>
    <row r="15" spans="1:17" x14ac:dyDescent="0.25">
      <c r="A15" s="7">
        <v>46091</v>
      </c>
      <c r="B15" s="9">
        <v>1.0494000000000043</v>
      </c>
      <c r="C15">
        <v>125.50000000000064</v>
      </c>
      <c r="F15" s="9">
        <v>1.1294999999985909</v>
      </c>
      <c r="G15">
        <v>106.64999999963499</v>
      </c>
      <c r="H15" s="9">
        <v>1.0749999999900226</v>
      </c>
      <c r="J15" s="9">
        <v>1.0378999999999534</v>
      </c>
      <c r="L15" s="9">
        <v>1.0679999999999417</v>
      </c>
      <c r="M15" s="9">
        <v>1.0099999999979161</v>
      </c>
      <c r="N15" s="9">
        <v>3.2500000000001599</v>
      </c>
      <c r="P15">
        <v>106.04999999990095</v>
      </c>
    </row>
    <row r="16" spans="1:17" x14ac:dyDescent="0.25">
      <c r="A16" s="7">
        <v>46092</v>
      </c>
      <c r="B16" s="9">
        <v>1.0500000000000074</v>
      </c>
      <c r="C16">
        <v>126.00000000000557</v>
      </c>
      <c r="F16" s="9">
        <v>1.1354999999988609</v>
      </c>
      <c r="G16">
        <v>106.79999999966773</v>
      </c>
      <c r="H16" s="9">
        <v>1.0829999999929263</v>
      </c>
      <c r="J16" s="9">
        <v>1.0384999999999893</v>
      </c>
      <c r="L16" s="9">
        <v>1.0675000000000372</v>
      </c>
      <c r="M16" s="9">
        <v>1.0199999999994018</v>
      </c>
      <c r="N16" s="9">
        <v>3.2540000000000036</v>
      </c>
      <c r="P16">
        <v>106.7999999999403</v>
      </c>
    </row>
    <row r="17" spans="1:16" x14ac:dyDescent="0.25">
      <c r="A17" s="7">
        <v>46093</v>
      </c>
      <c r="B17" s="9">
        <v>1.0455000000000034</v>
      </c>
      <c r="C17">
        <v>124.49999999999011</v>
      </c>
      <c r="F17" s="9">
        <v>1.1284999999984682</v>
      </c>
      <c r="G17">
        <v>106.44999999960689</v>
      </c>
      <c r="H17" s="9">
        <v>1.0824999999927818</v>
      </c>
      <c r="J17" s="9">
        <v>1.0409899999999972</v>
      </c>
      <c r="L17" s="9">
        <v>1.0159999999945137</v>
      </c>
      <c r="M17" s="9">
        <v>1.0099999999971798</v>
      </c>
      <c r="N17" s="9">
        <v>3.2504999999999495</v>
      </c>
      <c r="P17">
        <v>106.19999999991859</v>
      </c>
    </row>
    <row r="18" spans="1:16" x14ac:dyDescent="0.25">
      <c r="A18" s="7">
        <v>46094</v>
      </c>
      <c r="B18" s="9">
        <v>1.0590000000000477</v>
      </c>
      <c r="C18">
        <v>125.90000000000032</v>
      </c>
      <c r="F18" s="9">
        <v>1.1354999999988571</v>
      </c>
      <c r="G18">
        <v>106.54999999961852</v>
      </c>
      <c r="H18" s="9">
        <v>1.0874999999940276</v>
      </c>
      <c r="J18" s="9">
        <v>1.0540000000000018</v>
      </c>
      <c r="L18" s="9">
        <v>1.0379999999994793</v>
      </c>
      <c r="M18" s="9">
        <v>1.0369999999998949</v>
      </c>
      <c r="N18" s="9">
        <v>3.2999999999691103</v>
      </c>
      <c r="P18">
        <v>107.94999999996216</v>
      </c>
    </row>
    <row r="19" spans="1:16" x14ac:dyDescent="0.25">
      <c r="A19" s="7">
        <v>46097</v>
      </c>
      <c r="B19" s="9">
        <v>1.0609000000000328</v>
      </c>
      <c r="C19">
        <v>127.15000000000043</v>
      </c>
      <c r="F19" s="9">
        <v>1.1419999999992334</v>
      </c>
      <c r="G19">
        <v>107.09999999969627</v>
      </c>
      <c r="H19" s="9">
        <v>1.0869999999939537</v>
      </c>
      <c r="J19" s="9">
        <v>1.0660000000000289</v>
      </c>
      <c r="L19" s="9">
        <v>1.0479999999998857</v>
      </c>
      <c r="M19" s="9">
        <v>1.0484999999999984</v>
      </c>
      <c r="N19" s="9">
        <v>3.3429999999920428</v>
      </c>
      <c r="P19">
        <v>107.74999999996066</v>
      </c>
    </row>
    <row r="20" spans="1:16" x14ac:dyDescent="0.25">
      <c r="A20" s="7">
        <v>46098</v>
      </c>
      <c r="B20" s="9">
        <v>1.0616999999999854</v>
      </c>
      <c r="C20">
        <v>127.39999999999571</v>
      </c>
      <c r="F20" s="9">
        <v>1.1439999999992656</v>
      </c>
      <c r="G20">
        <v>107.74999999977079</v>
      </c>
      <c r="H20" s="9">
        <v>1.0949999999957478</v>
      </c>
      <c r="J20" s="9">
        <v>1.0664999999999933</v>
      </c>
      <c r="L20" s="9">
        <v>1.0484999999998044</v>
      </c>
      <c r="M20" s="9">
        <v>1.0449999999999871</v>
      </c>
      <c r="N20" s="9">
        <v>3.3899999999988313</v>
      </c>
      <c r="P20">
        <v>107.24999999994462</v>
      </c>
    </row>
    <row r="21" spans="1:16" x14ac:dyDescent="0.25">
      <c r="A21" s="7">
        <v>46099</v>
      </c>
      <c r="B21" s="9">
        <v>1.0629999999999746</v>
      </c>
      <c r="C21">
        <v>127.60000000000218</v>
      </c>
      <c r="F21" s="9">
        <v>1.1464999999993757</v>
      </c>
      <c r="G21">
        <v>107.5499999997611</v>
      </c>
      <c r="H21" s="9">
        <v>1.0979999999962837</v>
      </c>
      <c r="J21" s="9">
        <v>1.0692999999999977</v>
      </c>
      <c r="L21" s="9">
        <v>1.0699999999999621</v>
      </c>
      <c r="M21" s="9">
        <v>1.0499999999999998</v>
      </c>
      <c r="N21" s="9">
        <v>3.4044999999992411</v>
      </c>
      <c r="P21">
        <v>106.94999999994322</v>
      </c>
    </row>
    <row r="22" spans="1:16" x14ac:dyDescent="0.25">
      <c r="A22" s="7">
        <v>46100</v>
      </c>
      <c r="B22" s="9">
        <v>1.0674999999999857</v>
      </c>
      <c r="C22">
        <v>128.10000000000068</v>
      </c>
      <c r="F22" s="9">
        <v>1.1554999999995572</v>
      </c>
      <c r="G22">
        <v>108.79999999986161</v>
      </c>
      <c r="H22" s="9">
        <v>1.0999999999966026</v>
      </c>
      <c r="J22" s="9">
        <v>1.0664999999999885</v>
      </c>
      <c r="L22" s="9">
        <v>1.0689999999999893</v>
      </c>
      <c r="M22" s="9">
        <v>1.0489999999999784</v>
      </c>
      <c r="N22" s="9">
        <v>3.3599999999937551</v>
      </c>
      <c r="P22">
        <v>106.64999999994774</v>
      </c>
    </row>
    <row r="23" spans="1:16" x14ac:dyDescent="0.25">
      <c r="A23" s="7">
        <v>46101</v>
      </c>
      <c r="B23" s="9">
        <v>1.0739999999999919</v>
      </c>
      <c r="C23">
        <v>128.15000000000097</v>
      </c>
      <c r="F23" s="9">
        <v>1.1624999999996561</v>
      </c>
      <c r="G23">
        <v>109.19999999988559</v>
      </c>
      <c r="H23" s="9">
        <v>1.1049999999972795</v>
      </c>
      <c r="J23" s="9">
        <v>1.0725000000000322</v>
      </c>
      <c r="L23" s="9">
        <v>1.059999999999909</v>
      </c>
      <c r="M23" s="9">
        <v>1.0399999999998564</v>
      </c>
      <c r="N23" s="9">
        <v>3.3689999999934948</v>
      </c>
      <c r="P23">
        <v>107.49999999997884</v>
      </c>
    </row>
    <row r="24" spans="1:16" x14ac:dyDescent="0.25">
      <c r="A24" s="7">
        <v>46104</v>
      </c>
      <c r="B24" s="9">
        <v>1.0859999999999976</v>
      </c>
      <c r="C24">
        <v>128.49999999999977</v>
      </c>
      <c r="F24" s="9">
        <v>1.1669999999997267</v>
      </c>
      <c r="G24">
        <v>109.79999999990882</v>
      </c>
      <c r="H24" s="9">
        <v>1.1194999999985551</v>
      </c>
      <c r="J24" s="9">
        <v>1.0794999999999879</v>
      </c>
      <c r="L24" s="9">
        <v>1.0695000000000225</v>
      </c>
      <c r="M24" s="9">
        <v>1.0500000000000116</v>
      </c>
      <c r="N24" s="9">
        <v>3.4214999999995257</v>
      </c>
      <c r="P24">
        <v>108.14999999998879</v>
      </c>
    </row>
    <row r="25" spans="1:16" x14ac:dyDescent="0.25">
      <c r="A25" s="7">
        <v>46106</v>
      </c>
      <c r="B25" s="9">
        <v>1.0759900000000158</v>
      </c>
      <c r="C25">
        <v>128.65000000000057</v>
      </c>
      <c r="F25" s="9">
        <v>1.1669999999997076</v>
      </c>
      <c r="G25">
        <v>110.09999999992448</v>
      </c>
      <c r="H25" s="9">
        <v>1.1089999999977271</v>
      </c>
      <c r="J25" s="9">
        <v>1.0744999999999723</v>
      </c>
      <c r="L25" s="9">
        <v>1.0674999999999715</v>
      </c>
      <c r="M25" s="9">
        <v>1.065000000000027</v>
      </c>
      <c r="N25" s="9">
        <v>3.4099999999984676</v>
      </c>
      <c r="P25">
        <v>106.19999999997103</v>
      </c>
    </row>
    <row r="26" spans="1:16" x14ac:dyDescent="0.25">
      <c r="A26" s="7">
        <v>46107</v>
      </c>
      <c r="B26" s="9">
        <v>1.0848999999999733</v>
      </c>
      <c r="C26">
        <v>130.10000000000147</v>
      </c>
      <c r="F26" s="9">
        <v>1.1799999999998176</v>
      </c>
      <c r="G26">
        <v>110.99999999994621</v>
      </c>
      <c r="H26" s="9">
        <v>1.1399999999995172</v>
      </c>
      <c r="J26" s="9">
        <v>1.0950000000000129</v>
      </c>
      <c r="L26" s="9">
        <v>1.0800000000000392</v>
      </c>
      <c r="M26" s="9">
        <v>1.1574999999987605</v>
      </c>
      <c r="N26" s="9">
        <v>3.4399999999993502</v>
      </c>
      <c r="P26">
        <v>106.64999999998584</v>
      </c>
    </row>
    <row r="27" spans="1:16" x14ac:dyDescent="0.25">
      <c r="A27" s="7">
        <v>46108</v>
      </c>
      <c r="B27" s="9">
        <v>1.0909699999999889</v>
      </c>
      <c r="C27">
        <v>130.60000000000019</v>
      </c>
      <c r="F27" s="9">
        <v>1.1819999999998494</v>
      </c>
      <c r="G27">
        <v>111.44999999995258</v>
      </c>
      <c r="H27" s="9">
        <v>1.1299999999990507</v>
      </c>
      <c r="J27" s="9">
        <v>1.1019999999999992</v>
      </c>
      <c r="L27" s="9">
        <v>1.1049999999944762</v>
      </c>
      <c r="M27" s="9">
        <v>1.1310000000000431</v>
      </c>
      <c r="N27" s="9">
        <v>3.4849999999995833</v>
      </c>
      <c r="P27">
        <v>107.59999999999323</v>
      </c>
    </row>
    <row r="28" spans="1:16" x14ac:dyDescent="0.25">
      <c r="A28" s="7">
        <v>46111</v>
      </c>
      <c r="B28" s="9">
        <v>1.0865100000000272</v>
      </c>
      <c r="C28">
        <v>129.79999999999887</v>
      </c>
      <c r="F28" s="9">
        <v>1.172999999999808</v>
      </c>
      <c r="G28">
        <v>110.34999999992765</v>
      </c>
      <c r="H28" s="9">
        <v>1.1289999999990359</v>
      </c>
      <c r="J28" s="9">
        <v>1.0964999999986789</v>
      </c>
      <c r="L28" s="9">
        <v>1.1099999999976307</v>
      </c>
      <c r="M28" s="9">
        <v>1.0800000000000565</v>
      </c>
      <c r="N28" s="9">
        <v>3.4835000000001934</v>
      </c>
      <c r="P28">
        <v>107.44999999998809</v>
      </c>
    </row>
    <row r="29" spans="1:16" x14ac:dyDescent="0.25">
      <c r="A29" s="7">
        <v>46112</v>
      </c>
      <c r="B29" s="9">
        <v>1.0915000000000348</v>
      </c>
      <c r="C29">
        <v>130.300000000002</v>
      </c>
      <c r="F29" s="9">
        <v>1.1744999999998007</v>
      </c>
      <c r="G29">
        <v>110.29999999993643</v>
      </c>
      <c r="H29" s="9">
        <v>1.1339999999992059</v>
      </c>
      <c r="J29" s="9">
        <v>1.1023500000000188</v>
      </c>
      <c r="L29" s="9">
        <v>1.0950000000000111</v>
      </c>
      <c r="M29" s="9">
        <v>1.0690000000000301</v>
      </c>
      <c r="N29" s="9">
        <v>3.5300000000003466</v>
      </c>
      <c r="P29">
        <v>108.29999999999424</v>
      </c>
    </row>
    <row r="30" spans="1:16" x14ac:dyDescent="0.25">
      <c r="A30" s="7">
        <v>46113</v>
      </c>
      <c r="B30" s="9">
        <v>1.0966900000000166</v>
      </c>
      <c r="C30">
        <v>131.04999999999836</v>
      </c>
      <c r="F30" s="9">
        <v>1.178499999999858</v>
      </c>
      <c r="G30">
        <v>110.7999999999457</v>
      </c>
      <c r="H30" s="9">
        <v>1.1294999999990731</v>
      </c>
      <c r="J30" s="9">
        <v>1.1049999999999873</v>
      </c>
      <c r="L30" s="9">
        <v>1.0980000000000232</v>
      </c>
      <c r="M30" s="9">
        <v>1.0999999999998211</v>
      </c>
      <c r="N30" s="9">
        <v>3.5690000000000417</v>
      </c>
      <c r="P30">
        <v>109.10000000000069</v>
      </c>
    </row>
    <row r="31" spans="1:16" x14ac:dyDescent="0.25">
      <c r="A31" s="7">
        <v>46118</v>
      </c>
      <c r="B31" s="9">
        <v>1.0989999999999649</v>
      </c>
      <c r="C31">
        <v>130.90000000000182</v>
      </c>
      <c r="F31" s="9">
        <v>1.177499999999831</v>
      </c>
      <c r="G31">
        <v>110.89999999994644</v>
      </c>
      <c r="H31" s="9">
        <v>1.1374999999993509</v>
      </c>
      <c r="J31" s="9">
        <v>1.1079999999999852</v>
      </c>
      <c r="L31" s="9">
        <v>1.1055000000000108</v>
      </c>
      <c r="M31" s="9">
        <v>1.1150000000000633</v>
      </c>
      <c r="N31" s="9">
        <v>3.6124999999959631</v>
      </c>
      <c r="P31">
        <v>109.74999999999665</v>
      </c>
    </row>
    <row r="32" spans="1:16" x14ac:dyDescent="0.25">
      <c r="A32" s="7">
        <v>46119</v>
      </c>
      <c r="B32" s="9">
        <v>1.094800000000018</v>
      </c>
      <c r="C32">
        <v>130.79999999999762</v>
      </c>
      <c r="F32" s="9">
        <v>1.1774999999997859</v>
      </c>
      <c r="G32">
        <v>110.79999999994259</v>
      </c>
      <c r="H32" s="9">
        <v>1.1409999999994735</v>
      </c>
      <c r="J32" s="9">
        <v>1.1080000000000125</v>
      </c>
      <c r="L32" s="9">
        <v>1.126000000000011</v>
      </c>
      <c r="M32" s="9">
        <v>1.09000000000007</v>
      </c>
      <c r="N32" s="9">
        <v>3.5800000000000889</v>
      </c>
      <c r="P32">
        <v>110.25000000000263</v>
      </c>
    </row>
    <row r="33" spans="1:16" x14ac:dyDescent="0.25">
      <c r="A33" s="7">
        <v>46120</v>
      </c>
      <c r="B33" s="9">
        <v>1.0964900000000091</v>
      </c>
      <c r="C33">
        <v>131.30000000000334</v>
      </c>
      <c r="F33" s="9">
        <v>1.1819999999999284</v>
      </c>
      <c r="G33">
        <v>110.89999999995108</v>
      </c>
      <c r="H33" s="9">
        <v>1.1319999999991799</v>
      </c>
      <c r="J33" s="9">
        <v>1.1107600000000233</v>
      </c>
      <c r="L33" s="9">
        <v>1.1300000000000012</v>
      </c>
      <c r="M33" s="9">
        <v>1.0999999999960908</v>
      </c>
      <c r="N33" s="9">
        <v>3.5600000000001022</v>
      </c>
      <c r="P33">
        <v>109.79999999999788</v>
      </c>
    </row>
    <row r="34" spans="1:16" x14ac:dyDescent="0.25">
      <c r="A34" s="7">
        <v>46121</v>
      </c>
      <c r="B34" s="9">
        <v>1.0979999999999808</v>
      </c>
      <c r="C34">
        <v>131.5000000000027</v>
      </c>
      <c r="F34" s="9">
        <v>1.1869999999998699</v>
      </c>
      <c r="G34">
        <v>111.59999999995959</v>
      </c>
      <c r="H34" s="9">
        <v>1.1384999999992957</v>
      </c>
      <c r="J34" s="9">
        <v>1.1159999999999803</v>
      </c>
      <c r="L34" s="9">
        <v>1.1199999999956616</v>
      </c>
      <c r="M34" s="9">
        <v>1.1099999999904933</v>
      </c>
      <c r="N34" s="9">
        <v>3.5404999999998603</v>
      </c>
      <c r="P34">
        <v>109.44999999999936</v>
      </c>
    </row>
    <row r="35" spans="1:16" x14ac:dyDescent="0.25">
      <c r="A35" s="7">
        <v>46122</v>
      </c>
      <c r="B35" s="9">
        <v>1.1035999999999915</v>
      </c>
      <c r="C35">
        <v>131.79999999999504</v>
      </c>
      <c r="F35" s="9">
        <v>1.1914999999999114</v>
      </c>
      <c r="G35">
        <v>112.39999999997204</v>
      </c>
      <c r="H35" s="9">
        <v>1.137999999999294</v>
      </c>
      <c r="J35" s="9">
        <v>1.1175000000000006</v>
      </c>
      <c r="L35" s="9">
        <v>1.1280000000000576</v>
      </c>
      <c r="M35" s="9">
        <v>1.1749999999987069</v>
      </c>
      <c r="N35" s="9">
        <v>3.5589999999997133</v>
      </c>
      <c r="P35">
        <v>109.49999999999973</v>
      </c>
    </row>
    <row r="36" spans="1:16" x14ac:dyDescent="0.25">
      <c r="A36" s="7">
        <v>46125</v>
      </c>
      <c r="B36" s="9">
        <v>1.104999999999996</v>
      </c>
      <c r="C36">
        <v>132.19999999999791</v>
      </c>
      <c r="F36" s="9">
        <v>1.1964999999999282</v>
      </c>
      <c r="G36">
        <v>112.94999999998629</v>
      </c>
      <c r="H36" s="9">
        <v>1.1384999999994561</v>
      </c>
      <c r="J36" s="9">
        <v>1.1199999999999819</v>
      </c>
      <c r="L36" s="9">
        <v>1.128000000000029</v>
      </c>
      <c r="M36" s="9">
        <v>1.0959999999999455</v>
      </c>
      <c r="N36" s="9">
        <v>3.5579999999997454</v>
      </c>
      <c r="P36">
        <v>109.54999999999784</v>
      </c>
    </row>
    <row r="37" spans="1:16" x14ac:dyDescent="0.25">
      <c r="A37" s="7">
        <v>46126</v>
      </c>
      <c r="B37" s="9">
        <v>1.1105000000000222</v>
      </c>
      <c r="C37">
        <v>132.7500000000073</v>
      </c>
      <c r="F37" s="9">
        <v>1.2059999999999242</v>
      </c>
      <c r="G37">
        <v>113.29999999998589</v>
      </c>
      <c r="H37" s="9">
        <v>1.1429999999995082</v>
      </c>
      <c r="J37" s="9">
        <v>1.1265000000000049</v>
      </c>
      <c r="L37" s="9">
        <v>1.1099999999999814</v>
      </c>
      <c r="M37" s="9">
        <v>1.0949999999999471</v>
      </c>
      <c r="N37" s="9">
        <v>3.572500000000153</v>
      </c>
      <c r="P37">
        <v>109.30000000000398</v>
      </c>
    </row>
    <row r="38" spans="1:16" x14ac:dyDescent="0.25">
      <c r="A38" s="7">
        <v>46127</v>
      </c>
      <c r="B38" s="9">
        <v>1.1136000000000235</v>
      </c>
      <c r="C38">
        <v>133.99999999999946</v>
      </c>
      <c r="F38" s="9">
        <v>1.2144999999999788</v>
      </c>
      <c r="G38">
        <v>114.59999999998804</v>
      </c>
      <c r="H38" s="9">
        <v>1.1609999999997871</v>
      </c>
      <c r="J38" s="9">
        <v>1.1313000000000115</v>
      </c>
      <c r="L38" s="9">
        <v>1.1399999999999366</v>
      </c>
      <c r="M38" s="9">
        <v>1.120000000000039</v>
      </c>
      <c r="N38" s="9">
        <v>3.6049999999999924</v>
      </c>
      <c r="P38">
        <v>109.00000000000314</v>
      </c>
    </row>
    <row r="39" spans="1:16" x14ac:dyDescent="0.25">
      <c r="A39" s="7">
        <v>46128</v>
      </c>
      <c r="B39" s="9">
        <v>1.1198999999999806</v>
      </c>
      <c r="C39">
        <v>134.04999999999671</v>
      </c>
      <c r="F39" s="9">
        <v>1.2180000000000542</v>
      </c>
      <c r="G39">
        <v>114.74999999999494</v>
      </c>
      <c r="H39" s="9">
        <v>1.1649999999997898</v>
      </c>
      <c r="J39" s="9">
        <v>1.1339999999999877</v>
      </c>
      <c r="L39" s="9">
        <v>1.1199999999999937</v>
      </c>
      <c r="M39" s="9">
        <v>1.1020000000000651</v>
      </c>
      <c r="N39" s="9">
        <v>3.6260000000001482</v>
      </c>
      <c r="P39">
        <v>109.24999999999714</v>
      </c>
    </row>
    <row r="40" spans="1:16" x14ac:dyDescent="0.25">
      <c r="A40" s="7">
        <v>46129</v>
      </c>
      <c r="B40" s="9">
        <v>1.1299999999999839</v>
      </c>
      <c r="C40">
        <v>135.29999999999822</v>
      </c>
      <c r="F40" s="9">
        <v>1.226499999999993</v>
      </c>
      <c r="G40">
        <v>115.74999999999098</v>
      </c>
      <c r="H40" s="9">
        <v>1.1819999999999331</v>
      </c>
      <c r="J40" s="9">
        <v>1.1479999999999899</v>
      </c>
      <c r="L40" s="9">
        <v>1.1299999999948867</v>
      </c>
      <c r="M40" s="9">
        <v>1.1169999999962306</v>
      </c>
      <c r="N40" s="9">
        <v>3.6799999999879862</v>
      </c>
      <c r="P40">
        <v>110.19999999999675</v>
      </c>
    </row>
    <row r="41" spans="1:16" x14ac:dyDescent="0.25">
      <c r="A41" s="7">
        <v>46132</v>
      </c>
      <c r="B41" s="9">
        <v>1.1294000000000219</v>
      </c>
      <c r="C41">
        <v>136.04999999999694</v>
      </c>
      <c r="F41" s="9">
        <v>1.2284999999999924</v>
      </c>
      <c r="G41">
        <v>115.84999999999677</v>
      </c>
      <c r="H41" s="9">
        <v>1.1780000000000383</v>
      </c>
      <c r="J41" s="9">
        <v>1.1478999999999802</v>
      </c>
      <c r="L41" s="9">
        <v>1.1349999999997946</v>
      </c>
      <c r="M41" s="9">
        <v>1.116999999999146</v>
      </c>
      <c r="N41" s="9">
        <v>3.6700000000001189</v>
      </c>
      <c r="P41">
        <v>110.40000000000272</v>
      </c>
    </row>
    <row r="42" spans="1:16" x14ac:dyDescent="0.25">
      <c r="A42" s="7">
        <v>46133</v>
      </c>
      <c r="B42" s="9">
        <v>1.125499999999974</v>
      </c>
      <c r="C42">
        <v>135.69999999999905</v>
      </c>
      <c r="F42" s="9">
        <v>1.2284999999999893</v>
      </c>
      <c r="G42">
        <v>116.09999999999697</v>
      </c>
      <c r="H42" s="9">
        <v>1.1794999999999423</v>
      </c>
      <c r="J42" s="9">
        <v>1.1485000000000216</v>
      </c>
      <c r="L42" s="9">
        <v>1.1374999999934998</v>
      </c>
      <c r="M42" s="9">
        <v>1.1159999999922972</v>
      </c>
      <c r="N42" s="9">
        <v>3.6600000000000579</v>
      </c>
      <c r="P42">
        <v>110.50000000000686</v>
      </c>
    </row>
    <row r="43" spans="1:16" x14ac:dyDescent="0.25">
      <c r="A43" s="7">
        <v>46134</v>
      </c>
      <c r="B43" s="9">
        <v>1.128399999999997</v>
      </c>
      <c r="C43">
        <v>135.99999999999736</v>
      </c>
      <c r="F43" s="9">
        <v>1.2300000000000901</v>
      </c>
      <c r="G43">
        <v>115.94999999999833</v>
      </c>
      <c r="H43" s="9">
        <v>1.1824999999998469</v>
      </c>
      <c r="J43" s="9">
        <v>1.1477499999999956</v>
      </c>
      <c r="L43" s="9">
        <v>1.1299999999934778</v>
      </c>
      <c r="M43" s="9">
        <v>1.110000000000021</v>
      </c>
      <c r="N43" s="9">
        <v>3.66749999999996</v>
      </c>
      <c r="P43">
        <v>110.79999999999932</v>
      </c>
    </row>
    <row r="44" spans="1:16" x14ac:dyDescent="0.25">
      <c r="A44" s="7">
        <v>46135</v>
      </c>
      <c r="B44" s="9">
        <v>1.1240000000000174</v>
      </c>
      <c r="C44">
        <v>135.29999999999785</v>
      </c>
      <c r="F44" s="9">
        <v>1.2254999999999314</v>
      </c>
      <c r="G44">
        <v>115.64999999999405</v>
      </c>
      <c r="H44" s="9">
        <v>1.1749999999999348</v>
      </c>
      <c r="J44" s="9">
        <v>1.137999999999977</v>
      </c>
      <c r="L44" s="9">
        <v>1.1299999999999444</v>
      </c>
      <c r="M44" s="9">
        <v>1.1109999999999829</v>
      </c>
      <c r="N44" s="9">
        <v>3.643499999999833</v>
      </c>
      <c r="P44">
        <v>110.69999999999899</v>
      </c>
    </row>
    <row r="45" spans="1:16" x14ac:dyDescent="0.25">
      <c r="A45" s="7">
        <v>46136</v>
      </c>
      <c r="B45" s="9">
        <v>1.1254999999999793</v>
      </c>
      <c r="C45">
        <v>135.25000000000549</v>
      </c>
      <c r="F45" s="9">
        <v>1.2264999999999966</v>
      </c>
      <c r="G45">
        <v>115.49999999999206</v>
      </c>
      <c r="H45" s="9">
        <v>1.1654999999998201</v>
      </c>
      <c r="J45" s="9">
        <v>1.1409999999999791</v>
      </c>
      <c r="L45" s="9">
        <v>1.128999999999994</v>
      </c>
      <c r="M45" s="9">
        <v>1.1125000000000396</v>
      </c>
      <c r="N45" s="9">
        <v>3.6394999999999591</v>
      </c>
      <c r="P45">
        <v>110.29999999999556</v>
      </c>
    </row>
    <row r="46" spans="1:16" x14ac:dyDescent="0.25">
      <c r="A46" s="7">
        <v>46139</v>
      </c>
      <c r="B46" s="9">
        <v>1.1253900000000177</v>
      </c>
      <c r="C46">
        <v>134.50000000000492</v>
      </c>
      <c r="F46" s="9">
        <v>1.2215000000000216</v>
      </c>
      <c r="G46">
        <v>115.2499999999949</v>
      </c>
      <c r="H46" s="9">
        <v>1.1649999999999527</v>
      </c>
      <c r="J46" s="9">
        <v>1.1399599999999728</v>
      </c>
      <c r="L46" s="9">
        <v>1.1300000000000365</v>
      </c>
      <c r="M46" s="9">
        <v>1.109500000000043</v>
      </c>
      <c r="N46" s="9">
        <v>3.6289999999999232</v>
      </c>
      <c r="P46">
        <v>110.4999999999927</v>
      </c>
    </row>
    <row r="47" spans="1:16" x14ac:dyDescent="0.25">
      <c r="A47" s="7">
        <v>46140</v>
      </c>
      <c r="B47" s="9">
        <v>1.1280000000000185</v>
      </c>
      <c r="C47">
        <v>135.00000000000173</v>
      </c>
      <c r="F47" s="9">
        <v>1.2250000000000234</v>
      </c>
      <c r="G47">
        <v>115.44999999999435</v>
      </c>
      <c r="H47" s="9">
        <v>1.1899999999998958</v>
      </c>
      <c r="J47" s="9">
        <v>1.1374999999999995</v>
      </c>
      <c r="L47" s="9">
        <v>1.132000000000049</v>
      </c>
      <c r="M47" s="9">
        <v>1.1129999999999858</v>
      </c>
      <c r="N47" s="9">
        <v>3.6325000000001535</v>
      </c>
      <c r="P47">
        <v>110.29999999999545</v>
      </c>
    </row>
    <row r="48" spans="1:16" x14ac:dyDescent="0.25">
      <c r="A48" s="7">
        <v>46141</v>
      </c>
      <c r="B48" s="9">
        <v>1.1274999999999979</v>
      </c>
      <c r="C48">
        <v>134.39000000000016</v>
      </c>
      <c r="F48" s="9">
        <v>1.2154999999999605</v>
      </c>
      <c r="G48">
        <v>115.34999999999246</v>
      </c>
      <c r="H48" s="9">
        <v>1.1704999999999357</v>
      </c>
      <c r="J48" s="9">
        <v>1.1289999999999949</v>
      </c>
      <c r="L48" s="9">
        <v>1.1289999999999845</v>
      </c>
      <c r="M48" s="9">
        <v>1.1289999999945186</v>
      </c>
      <c r="N48" s="9">
        <v>3.5849999999999933</v>
      </c>
      <c r="P48">
        <v>110.4000000000002</v>
      </c>
    </row>
    <row r="49" spans="1:16" x14ac:dyDescent="0.25">
      <c r="A49" s="7">
        <v>46142</v>
      </c>
      <c r="B49" s="9">
        <v>1.133000000000002</v>
      </c>
      <c r="C49">
        <v>134.99999999999784</v>
      </c>
      <c r="F49" s="9">
        <v>1.2245000000000259</v>
      </c>
      <c r="G49">
        <v>116.39999999999311</v>
      </c>
      <c r="H49" s="9">
        <v>1.195000000000052</v>
      </c>
      <c r="J49" s="9">
        <v>1.1309999999999985</v>
      </c>
      <c r="L49" s="9">
        <v>1.1345000000000405</v>
      </c>
      <c r="M49" s="9">
        <v>1.1249999999999212</v>
      </c>
      <c r="N49" s="9">
        <v>3.5909999999996751</v>
      </c>
      <c r="P49">
        <v>110.99999999999972</v>
      </c>
    </row>
    <row r="50" spans="1:16" x14ac:dyDescent="0.25">
      <c r="A50" s="7">
        <v>46146</v>
      </c>
      <c r="B50" s="9">
        <v>1.1294999999999791</v>
      </c>
      <c r="C50">
        <v>135.28999999999888</v>
      </c>
      <c r="F50" s="9">
        <v>1.2262000000000133</v>
      </c>
      <c r="G50">
        <v>115.94999999999341</v>
      </c>
      <c r="H50" s="9">
        <v>1.1890000000000018</v>
      </c>
      <c r="J50" s="9">
        <v>1.1348999999999807</v>
      </c>
      <c r="L50" s="9">
        <v>1.1350000000000475</v>
      </c>
      <c r="M50" s="9">
        <v>1.1250000000000029</v>
      </c>
      <c r="N50" s="9">
        <v>3.6185000000001999</v>
      </c>
      <c r="P50">
        <v>110.44999999999776</v>
      </c>
    </row>
    <row r="51" spans="1:16" x14ac:dyDescent="0.25">
      <c r="A51" s="7">
        <v>46147</v>
      </c>
      <c r="B51" s="9">
        <v>1.1270100000000043</v>
      </c>
      <c r="C51">
        <v>135.14000000000161</v>
      </c>
      <c r="F51" s="9">
        <v>1.2269999999999843</v>
      </c>
      <c r="G51">
        <v>115.40999999998883</v>
      </c>
      <c r="H51" s="9">
        <v>1.1834999999999101</v>
      </c>
      <c r="J51" s="9">
        <v>1.1387999999999905</v>
      </c>
      <c r="L51" s="9">
        <v>1.1409999999999991</v>
      </c>
      <c r="M51" s="9">
        <v>1.1104999999999505</v>
      </c>
      <c r="N51" s="9">
        <v>3.6385000000000192</v>
      </c>
      <c r="P51">
        <v>110.7999999999989</v>
      </c>
    </row>
    <row r="52" spans="1:16" x14ac:dyDescent="0.25">
      <c r="A52" s="7">
        <v>46148</v>
      </c>
      <c r="B52" s="9">
        <v>1.1375000000000077</v>
      </c>
      <c r="C52">
        <v>135.70000000000155</v>
      </c>
      <c r="F52" s="9">
        <v>1.2323999999999626</v>
      </c>
      <c r="G52">
        <v>115.79999999999897</v>
      </c>
      <c r="H52" s="9">
        <v>1.1829999999998806</v>
      </c>
      <c r="J52" s="9">
        <v>1.1409999999999989</v>
      </c>
      <c r="L52" s="9">
        <v>1.1385000000000418</v>
      </c>
      <c r="M52" s="9">
        <v>1.1124999999999903</v>
      </c>
      <c r="N52" s="9">
        <v>3.6814999999997435</v>
      </c>
      <c r="P52">
        <v>110.90000000000208</v>
      </c>
    </row>
    <row r="53" spans="1:16" x14ac:dyDescent="0.25">
      <c r="A53" s="7">
        <v>46149</v>
      </c>
      <c r="B53" s="9">
        <v>1.1385000000000032</v>
      </c>
      <c r="C53">
        <v>136.19999999999476</v>
      </c>
      <c r="F53" s="9">
        <v>1.2345000000000192</v>
      </c>
      <c r="G53">
        <v>116.4999999999971</v>
      </c>
      <c r="H53" s="9">
        <v>1.1814999999999736</v>
      </c>
      <c r="J53" s="9">
        <v>1.1470099999999774</v>
      </c>
      <c r="L53" s="9">
        <v>1.1445000000000323</v>
      </c>
      <c r="M53" s="9">
        <v>1.1150000000000697</v>
      </c>
      <c r="N53" s="9">
        <v>3.6824999999999299</v>
      </c>
      <c r="P53">
        <v>111.15000000000531</v>
      </c>
    </row>
    <row r="54" spans="1:16" x14ac:dyDescent="0.25">
      <c r="A54" s="7">
        <v>46150</v>
      </c>
      <c r="B54" s="9">
        <v>1.1410000000000238</v>
      </c>
      <c r="C54">
        <v>136.59999999999917</v>
      </c>
      <c r="F54" s="9">
        <v>1.2383899999999399</v>
      </c>
      <c r="G54">
        <v>116.89999999999712</v>
      </c>
      <c r="H54" s="9">
        <v>1.2050000000000294</v>
      </c>
      <c r="J54" s="9">
        <v>1.1539999999999726</v>
      </c>
      <c r="L54" s="9">
        <v>1.1524999999999681</v>
      </c>
      <c r="M54" s="9">
        <v>1.1230000000000686</v>
      </c>
      <c r="N54" s="9">
        <v>3.6849999999998762</v>
      </c>
      <c r="P54">
        <v>111.50000000000003</v>
      </c>
    </row>
    <row r="55" spans="1:16" x14ac:dyDescent="0.25">
      <c r="A55" s="7">
        <v>46153</v>
      </c>
      <c r="B55" s="9">
        <v>1.1460000000000159</v>
      </c>
      <c r="C55">
        <v>137.1300000000023</v>
      </c>
      <c r="F55" s="9">
        <v>1.2444999999999686</v>
      </c>
      <c r="G55">
        <v>117.2799999999897</v>
      </c>
      <c r="H55" s="9">
        <v>1.19399999999994</v>
      </c>
      <c r="J55" s="9">
        <v>1.1534999999999949</v>
      </c>
      <c r="L55" s="9">
        <v>1.1645000000000527</v>
      </c>
      <c r="M55" s="9">
        <v>1.1349999999999283</v>
      </c>
      <c r="N55" s="9">
        <v>3.7349999999999941</v>
      </c>
      <c r="P55">
        <v>111.80000000000103</v>
      </c>
    </row>
    <row r="56" spans="1:16" x14ac:dyDescent="0.25">
      <c r="A56" s="7">
        <v>46154</v>
      </c>
      <c r="B56" s="9">
        <v>1.143049999999999</v>
      </c>
      <c r="C56">
        <v>137.11000000000124</v>
      </c>
      <c r="F56" s="9">
        <v>1.244400000000033</v>
      </c>
      <c r="G56">
        <v>117.19999999999644</v>
      </c>
      <c r="H56" s="9">
        <v>1.1960000000000077</v>
      </c>
      <c r="J56" s="9">
        <v>1.1540000000000215</v>
      </c>
      <c r="L56" s="9">
        <v>1.1645000000000121</v>
      </c>
      <c r="M56" s="9">
        <v>1.1449999999956426</v>
      </c>
      <c r="N56" s="9">
        <v>3.7299999999998055</v>
      </c>
      <c r="P56">
        <v>112.20000000000037</v>
      </c>
    </row>
    <row r="57" spans="1:16" x14ac:dyDescent="0.25">
      <c r="A57" s="7">
        <v>46155</v>
      </c>
      <c r="B57" s="9">
        <v>1.1475000000000135</v>
      </c>
      <c r="C57">
        <v>137.4979999999918</v>
      </c>
      <c r="F57" s="9">
        <v>1.2449999999999917</v>
      </c>
      <c r="G57">
        <v>117.49999999999643</v>
      </c>
      <c r="H57" s="9">
        <v>1.1940000000000046</v>
      </c>
      <c r="J57" s="9">
        <v>1.1549999999999958</v>
      </c>
      <c r="L57" s="9">
        <v>1.1644999999999777</v>
      </c>
      <c r="M57" s="9">
        <v>1.1395000000000084</v>
      </c>
      <c r="N57" s="9">
        <v>3.7284999999997122</v>
      </c>
      <c r="P57">
        <v>112.15000000000126</v>
      </c>
    </row>
    <row r="58" spans="1:16" x14ac:dyDescent="0.25">
      <c r="A58" s="7">
        <v>46156</v>
      </c>
      <c r="B58" s="9">
        <v>1.1519999999999697</v>
      </c>
      <c r="C58">
        <v>138.00000000000119</v>
      </c>
      <c r="F58" s="9">
        <v>1.2516100000000099</v>
      </c>
      <c r="G58">
        <v>118.48000000000083</v>
      </c>
      <c r="H58" s="9">
        <v>1.209999999999964</v>
      </c>
      <c r="J58" s="9">
        <v>1.1555000000000009</v>
      </c>
      <c r="L58" s="9">
        <v>1.1599999999999886</v>
      </c>
      <c r="M58" s="9">
        <v>1.135999999999932</v>
      </c>
      <c r="N58" s="9">
        <v>3.7360000000002209</v>
      </c>
      <c r="P58">
        <v>112.60000000000352</v>
      </c>
    </row>
    <row r="59" spans="1:16" x14ac:dyDescent="0.25">
      <c r="A59" s="7">
        <v>46157</v>
      </c>
      <c r="B59" s="9">
        <v>1.1564899999999947</v>
      </c>
      <c r="C59">
        <v>138.10000000000443</v>
      </c>
      <c r="F59" s="9">
        <v>1.2545000000000366</v>
      </c>
      <c r="G59">
        <v>118.64999999999289</v>
      </c>
      <c r="H59" s="9">
        <v>1.2139999999999558</v>
      </c>
      <c r="J59" s="9">
        <v>1.1584999999999721</v>
      </c>
      <c r="L59" s="9">
        <v>1.1609999999994896</v>
      </c>
      <c r="M59" s="9">
        <v>1.1350000000000104</v>
      </c>
      <c r="N59" s="9">
        <v>3.7454999999997067</v>
      </c>
      <c r="P59">
        <v>112.6499999999979</v>
      </c>
    </row>
    <row r="60" spans="1:16" x14ac:dyDescent="0.25">
      <c r="A60" s="7">
        <v>46160</v>
      </c>
      <c r="B60" s="9">
        <v>1.1559800000000222</v>
      </c>
      <c r="C60">
        <v>138.4000000000035</v>
      </c>
      <c r="F60" s="9">
        <v>1.2525000000000128</v>
      </c>
      <c r="G60">
        <v>118.4499999999957</v>
      </c>
      <c r="H60" s="9">
        <v>1.2149999999999803</v>
      </c>
      <c r="J60" s="9">
        <v>1.1604000000000068</v>
      </c>
      <c r="L60" s="9">
        <v>1.1600000000000166</v>
      </c>
      <c r="M60" s="9">
        <v>1.1325000000000338</v>
      </c>
      <c r="N60" s="9">
        <v>3.7479999999999656</v>
      </c>
      <c r="P60">
        <v>112.84999999999911</v>
      </c>
    </row>
    <row r="61" spans="1:16" x14ac:dyDescent="0.25">
      <c r="A61" s="7">
        <v>46161</v>
      </c>
      <c r="B61" s="9">
        <v>1.1531000000000042</v>
      </c>
      <c r="C61">
        <v>138.41199999999841</v>
      </c>
      <c r="F61" s="9">
        <v>1.2519999999999556</v>
      </c>
      <c r="G61">
        <v>118.54999999999771</v>
      </c>
      <c r="H61" s="9">
        <v>1.2174899999999971</v>
      </c>
      <c r="J61" s="9">
        <v>1.164499999999993</v>
      </c>
      <c r="L61" s="9">
        <v>1.1619999999999262</v>
      </c>
      <c r="M61" s="9">
        <v>1.1349999999999771</v>
      </c>
      <c r="N61" s="9">
        <v>3.7389999999999355</v>
      </c>
      <c r="P61">
        <v>112.95000000000435</v>
      </c>
    </row>
    <row r="62" spans="1:16" x14ac:dyDescent="0.25">
      <c r="A62" s="7">
        <v>46162</v>
      </c>
      <c r="B62" s="9">
        <v>1.1544999999999981</v>
      </c>
      <c r="C62">
        <v>138.47000000000398</v>
      </c>
      <c r="F62" s="9">
        <v>1.2520000000000089</v>
      </c>
      <c r="G62">
        <v>118.49999999999639</v>
      </c>
      <c r="H62" s="9">
        <v>1.2200000000000226</v>
      </c>
      <c r="J62" s="9">
        <v>1.1655000000000131</v>
      </c>
      <c r="L62" s="9">
        <v>1.163000000000058</v>
      </c>
      <c r="M62" s="9">
        <v>1.1349999999999849</v>
      </c>
      <c r="N62" s="9">
        <v>3.7240000000002205</v>
      </c>
      <c r="P62">
        <v>113.44999999999901</v>
      </c>
    </row>
    <row r="63" spans="1:16" x14ac:dyDescent="0.25">
      <c r="A63" s="7">
        <v>46163</v>
      </c>
      <c r="B63" s="9">
        <v>1.1572000000000076</v>
      </c>
      <c r="C63">
        <v>138.61800000000457</v>
      </c>
      <c r="F63" s="9">
        <v>1.252900000000003</v>
      </c>
      <c r="G63">
        <v>118.14999999999787</v>
      </c>
      <c r="H63" s="9">
        <v>1.2225000000000454</v>
      </c>
      <c r="J63" s="9">
        <v>1.1669999999999983</v>
      </c>
      <c r="L63" s="9">
        <v>1.154999999999996</v>
      </c>
      <c r="M63" s="9">
        <v>1.1349999999999929</v>
      </c>
      <c r="N63" s="9">
        <v>3.7234999999998486</v>
      </c>
      <c r="P63">
        <v>113.99999999999595</v>
      </c>
    </row>
    <row r="64" spans="1:16" x14ac:dyDescent="0.25">
      <c r="A64" s="7">
        <v>46164</v>
      </c>
      <c r="B64" s="9">
        <v>1.1585000000000016</v>
      </c>
      <c r="C64">
        <v>138.94999999999541</v>
      </c>
      <c r="F64" s="9">
        <v>1.2575000000000129</v>
      </c>
      <c r="G64">
        <v>118.7989999999967</v>
      </c>
      <c r="H64" s="9">
        <v>1.2184999999999764</v>
      </c>
      <c r="J64" s="9">
        <v>1.1699999999999939</v>
      </c>
      <c r="L64" s="9">
        <v>1.1604999999999952</v>
      </c>
      <c r="M64" s="9">
        <v>1.1360000000000046</v>
      </c>
      <c r="N64" s="9">
        <v>3.7205000000000528</v>
      </c>
      <c r="P64">
        <v>114.35000000000058</v>
      </c>
    </row>
    <row r="65" spans="1:16" x14ac:dyDescent="0.25">
      <c r="A65" s="7">
        <v>46168</v>
      </c>
      <c r="B65" s="9">
        <v>1.1595000000000015</v>
      </c>
      <c r="C65">
        <v>139.18599999999876</v>
      </c>
      <c r="F65" s="9">
        <v>1.2599999999999236</v>
      </c>
      <c r="G65">
        <v>118.94999999999614</v>
      </c>
      <c r="H65" s="9">
        <v>1.2199999999999536</v>
      </c>
      <c r="J65" s="9">
        <v>1.1714999999999955</v>
      </c>
      <c r="L65" s="9">
        <v>1.164000000000021</v>
      </c>
      <c r="M65" s="9">
        <v>1.1370000000000622</v>
      </c>
      <c r="N65" s="9">
        <v>3.7319999999998923</v>
      </c>
      <c r="P65">
        <v>114.50000000000176</v>
      </c>
    </row>
    <row r="66" spans="1:16" x14ac:dyDescent="0.25">
      <c r="A66" s="7">
        <v>46169</v>
      </c>
      <c r="B66" s="9">
        <v>1.1571299999999836</v>
      </c>
      <c r="C66">
        <v>138.88000000000235</v>
      </c>
      <c r="F66" s="9">
        <v>1.2605000000000148</v>
      </c>
      <c r="G66">
        <v>119.19999999999833</v>
      </c>
      <c r="H66" s="9">
        <v>1.2273000000000012</v>
      </c>
      <c r="J66" s="9">
        <v>1.172499999999995</v>
      </c>
      <c r="L66" s="9">
        <v>1.1535000000000286</v>
      </c>
      <c r="M66" s="9">
        <v>1.1370000000000469</v>
      </c>
      <c r="N66" s="9">
        <v>3.7365000000002211</v>
      </c>
      <c r="P66">
        <v>114.6000000000034</v>
      </c>
    </row>
    <row r="67" spans="1:16" x14ac:dyDescent="0.25">
      <c r="A67" s="7">
        <v>46170</v>
      </c>
      <c r="B67" s="9">
        <v>1.1600000000000212</v>
      </c>
      <c r="C67">
        <v>139.53999999999965</v>
      </c>
      <c r="F67" s="9">
        <v>1.2629999999999006</v>
      </c>
      <c r="G67">
        <v>119.1899999999993</v>
      </c>
      <c r="H67" s="9">
        <v>1.2263100000000533</v>
      </c>
      <c r="J67" s="9">
        <v>1.172950000000003</v>
      </c>
      <c r="L67" s="9">
        <v>1.1595000000000197</v>
      </c>
      <c r="M67" s="9">
        <v>1.1399999999999935</v>
      </c>
      <c r="N67" s="9">
        <v>3.7380000000000906</v>
      </c>
      <c r="P67">
        <v>114.55000000000256</v>
      </c>
    </row>
    <row r="68" spans="1:16" x14ac:dyDescent="0.25">
      <c r="A68" s="7">
        <v>46171</v>
      </c>
      <c r="B68" s="9">
        <v>1.1654899999999877</v>
      </c>
      <c r="C68">
        <v>139.8499999999988</v>
      </c>
      <c r="F68" s="9">
        <v>1.2688999999999759</v>
      </c>
      <c r="G68">
        <v>119.89000000000529</v>
      </c>
      <c r="H68" s="9">
        <v>1.2289999999999006</v>
      </c>
      <c r="J68" s="9">
        <v>1.176999999999998</v>
      </c>
      <c r="L68" s="9">
        <v>1.1699999999999424</v>
      </c>
      <c r="M68" s="9">
        <v>1.1434999999999684</v>
      </c>
      <c r="N68" s="9">
        <v>3.7754999999998859</v>
      </c>
      <c r="P68">
        <v>114.8499999999985</v>
      </c>
    </row>
    <row r="69" spans="1:16" x14ac:dyDescent="0.25">
      <c r="A69" s="7">
        <v>46174</v>
      </c>
      <c r="B69" s="9">
        <v>1.1649999999999878</v>
      </c>
      <c r="C69">
        <v>139.99000000000018</v>
      </c>
      <c r="F69" s="9">
        <v>1.2689999999999975</v>
      </c>
      <c r="G69">
        <v>119.83999999999679</v>
      </c>
      <c r="H69" s="9">
        <v>1.2309999999999655</v>
      </c>
      <c r="J69" s="9">
        <v>1.1780000000000241</v>
      </c>
      <c r="L69" s="9">
        <v>1.1680000000000126</v>
      </c>
      <c r="M69" s="9">
        <v>1.1460000000000592</v>
      </c>
      <c r="N69" s="9">
        <v>3.8094999999998844</v>
      </c>
      <c r="P69">
        <v>115.09999999999874</v>
      </c>
    </row>
    <row r="70" spans="1:16" x14ac:dyDescent="0.25">
      <c r="A70" s="7">
        <v>46175</v>
      </c>
      <c r="B70" s="9">
        <v>1.168000000000009</v>
      </c>
      <c r="C70">
        <v>139.74999999999656</v>
      </c>
      <c r="F70" s="9">
        <v>1.2655500000000262</v>
      </c>
      <c r="G70">
        <v>119.60500000000064</v>
      </c>
      <c r="H70" s="9">
        <v>1.232999999999971</v>
      </c>
      <c r="J70" s="9">
        <v>1.1781500000000222</v>
      </c>
      <c r="L70" s="9">
        <v>1.1690000000000798</v>
      </c>
      <c r="M70" s="9">
        <v>1.1509999999999945</v>
      </c>
      <c r="N70" s="9">
        <v>3.7665000000001614</v>
      </c>
      <c r="P70">
        <v>115.10000000000218</v>
      </c>
    </row>
    <row r="71" spans="1:16" x14ac:dyDescent="0.25">
      <c r="A71" s="7">
        <v>46176</v>
      </c>
      <c r="B71" s="9">
        <v>1.1629999999999938</v>
      </c>
      <c r="C71">
        <v>138.8509999999967</v>
      </c>
      <c r="F71" s="9">
        <v>1.2624900000000039</v>
      </c>
      <c r="G71">
        <v>119.18000000000302</v>
      </c>
      <c r="H71" s="9">
        <v>1.232889999999998</v>
      </c>
      <c r="J71" s="9">
        <v>1.1769999999999967</v>
      </c>
      <c r="L71" s="9">
        <v>1.1674999999999773</v>
      </c>
      <c r="M71" s="9">
        <v>1.1495000000000184</v>
      </c>
      <c r="N71" s="9">
        <v>3.7630000000000341</v>
      </c>
      <c r="P71">
        <v>114.84999999999847</v>
      </c>
    </row>
    <row r="72" spans="1:16" x14ac:dyDescent="0.25">
      <c r="A72" s="7">
        <v>46177</v>
      </c>
      <c r="B72" s="9">
        <v>1.1669999999999974</v>
      </c>
      <c r="C72">
        <v>139.34999999999917</v>
      </c>
      <c r="F72" s="9">
        <v>1.2662000000000624</v>
      </c>
      <c r="G72">
        <v>119.5000000000032</v>
      </c>
      <c r="H72" s="9">
        <v>1.2265000000000104</v>
      </c>
      <c r="J72" s="9">
        <v>1.1776000000000135</v>
      </c>
      <c r="L72" s="9">
        <v>1.1709999999999228</v>
      </c>
      <c r="M72" s="9">
        <v>1.1510000000000309</v>
      </c>
      <c r="N72" s="9">
        <v>3.8200000000000416</v>
      </c>
      <c r="P72">
        <v>114.79999999999721</v>
      </c>
    </row>
    <row r="73" spans="1:16" x14ac:dyDescent="0.25">
      <c r="A73" s="7">
        <v>46178</v>
      </c>
      <c r="B73" s="9">
        <v>1.1695499999999952</v>
      </c>
      <c r="C73">
        <v>139.60000000000204</v>
      </c>
      <c r="F73" s="9">
        <v>1.2672000000000052</v>
      </c>
      <c r="G73">
        <v>119.74999999999282</v>
      </c>
      <c r="H73" s="9">
        <v>1.2299999999999534</v>
      </c>
      <c r="J73" s="9">
        <v>1.1820000000000008</v>
      </c>
      <c r="L73" s="9">
        <v>1.1675000000000129</v>
      </c>
      <c r="M73" s="9">
        <v>1.1530000000000376</v>
      </c>
      <c r="N73" s="9">
        <v>3.7960000000003333</v>
      </c>
      <c r="P73">
        <v>114.99999999999977</v>
      </c>
    </row>
    <row r="74" spans="1:16" x14ac:dyDescent="0.25">
      <c r="A74" s="7">
        <v>46181</v>
      </c>
      <c r="B74" s="9">
        <v>1.1724999999999737</v>
      </c>
      <c r="C74">
        <v>139.64999999999506</v>
      </c>
      <c r="F74" s="9">
        <v>1.2705000000000379</v>
      </c>
      <c r="G74">
        <v>119.90000000000431</v>
      </c>
      <c r="H74" s="9">
        <v>1.2350000000000501</v>
      </c>
      <c r="J74" s="9">
        <v>1.1833999999999674</v>
      </c>
      <c r="L74" s="9">
        <v>1.1714999999999707</v>
      </c>
      <c r="M74" s="9">
        <v>1.1574999999999891</v>
      </c>
      <c r="N74" s="9">
        <v>3.7875000000000409</v>
      </c>
      <c r="P74">
        <v>115.10000000000066</v>
      </c>
    </row>
    <row r="75" spans="1:16" x14ac:dyDescent="0.25">
      <c r="A75" s="7">
        <v>46182</v>
      </c>
      <c r="B75" s="9">
        <v>1.1725000000000083</v>
      </c>
      <c r="C75">
        <v>140.34899999999513</v>
      </c>
      <c r="F75" s="9">
        <v>1.2738799999999886</v>
      </c>
      <c r="G75">
        <v>120.35000000000215</v>
      </c>
      <c r="H75" s="9">
        <v>1.2389999999999979</v>
      </c>
      <c r="J75" s="9">
        <v>1.1875000000000007</v>
      </c>
      <c r="L75" s="9">
        <v>1.1729999999999661</v>
      </c>
      <c r="M75" s="9">
        <v>1.160000000000077</v>
      </c>
      <c r="N75" s="9">
        <v>3.791000000000059</v>
      </c>
      <c r="P75">
        <v>115.09999999999559</v>
      </c>
    </row>
    <row r="76" spans="1:16" x14ac:dyDescent="0.25">
      <c r="A76" s="7">
        <v>46183</v>
      </c>
      <c r="B76" s="9">
        <v>1.1712999999999791</v>
      </c>
      <c r="C76">
        <v>140.9499999999947</v>
      </c>
      <c r="F76" s="9">
        <v>1.2775000000000216</v>
      </c>
      <c r="G76">
        <v>120.64899999999818</v>
      </c>
      <c r="H76" s="9">
        <v>1.2474999999999925</v>
      </c>
      <c r="J76" s="9">
        <v>1.1877500000000092</v>
      </c>
      <c r="L76" s="9">
        <v>1.1840000000000153</v>
      </c>
      <c r="M76" s="9">
        <v>1.1620000000000075</v>
      </c>
      <c r="N76" s="9">
        <v>3.7980000000002354</v>
      </c>
      <c r="P76">
        <v>114.95000000000061</v>
      </c>
    </row>
    <row r="77" spans="1:16" x14ac:dyDescent="0.25">
      <c r="A77" s="7">
        <v>46184</v>
      </c>
      <c r="B77" s="9">
        <v>1.1789999999999983</v>
      </c>
      <c r="C77">
        <v>141.50900000000058</v>
      </c>
      <c r="F77" s="9">
        <v>1.2854999999999455</v>
      </c>
      <c r="G77">
        <v>120.95999999999762</v>
      </c>
      <c r="H77" s="9">
        <v>1.2495000000000385</v>
      </c>
      <c r="J77" s="9">
        <v>1.1880000000000044</v>
      </c>
      <c r="L77" s="9">
        <v>1.1755000000000833</v>
      </c>
      <c r="M77" s="9">
        <v>1.1630000000000167</v>
      </c>
      <c r="N77" s="9">
        <v>3.7954999999997909</v>
      </c>
      <c r="P77">
        <v>115.10000000000477</v>
      </c>
    </row>
    <row r="78" spans="1:16" x14ac:dyDescent="0.25">
      <c r="A78" s="7">
        <v>46185</v>
      </c>
      <c r="B78" s="9">
        <v>1.1820100000000295</v>
      </c>
      <c r="C78">
        <v>141.94999999999959</v>
      </c>
      <c r="F78" s="9">
        <v>1.287450000000018</v>
      </c>
      <c r="G78">
        <v>121.34999999999832</v>
      </c>
      <c r="H78" s="9">
        <v>1.2500000000000171</v>
      </c>
      <c r="J78" s="9">
        <v>1.1865000000000112</v>
      </c>
      <c r="L78" s="9">
        <v>1.1849999999999508</v>
      </c>
      <c r="M78" s="9">
        <v>1.1690000000000722</v>
      </c>
      <c r="N78" s="9">
        <v>3.8235000000002897</v>
      </c>
      <c r="P78">
        <v>115.30000000000229</v>
      </c>
    </row>
    <row r="79" spans="1:16" x14ac:dyDescent="0.25">
      <c r="A79" s="7">
        <v>46189</v>
      </c>
      <c r="B79" s="9">
        <v>1.1847999999999781</v>
      </c>
      <c r="C79">
        <v>141.76200000000665</v>
      </c>
      <c r="F79" s="9">
        <v>1.2905000000000069</v>
      </c>
      <c r="G79">
        <v>121.79999999999784</v>
      </c>
      <c r="H79" s="9">
        <v>1.2365000000000157</v>
      </c>
      <c r="J79" s="9">
        <v>1.1845000000000103</v>
      </c>
      <c r="L79" s="9">
        <v>1.1835000000000291</v>
      </c>
      <c r="M79" s="9">
        <v>1.1679999999999808</v>
      </c>
      <c r="N79" s="9">
        <v>3.8140000000000964</v>
      </c>
      <c r="P79">
        <v>115.35000000000197</v>
      </c>
    </row>
    <row r="80" spans="1:16" x14ac:dyDescent="0.25">
      <c r="A80" s="7">
        <v>46190</v>
      </c>
      <c r="B80" s="9">
        <v>1.1799999999999968</v>
      </c>
      <c r="C80">
        <v>141.75000000000176</v>
      </c>
      <c r="F80" s="9">
        <v>1.2883999999999463</v>
      </c>
      <c r="G80">
        <v>121.65599999999712</v>
      </c>
      <c r="H80" s="9">
        <v>1.2409999999999612</v>
      </c>
      <c r="J80" s="9">
        <v>1.1819999999999902</v>
      </c>
      <c r="L80" s="9">
        <v>1.1849999999999887</v>
      </c>
      <c r="M80" s="9">
        <v>1.1680000000000101</v>
      </c>
      <c r="N80" s="9">
        <v>3.8065000000000286</v>
      </c>
      <c r="P80">
        <v>115.5000000000004</v>
      </c>
    </row>
    <row r="81" spans="1:17" x14ac:dyDescent="0.25">
      <c r="A81" s="7">
        <v>46191</v>
      </c>
      <c r="B81" s="9">
        <v>1.1798899999999848</v>
      </c>
      <c r="C81">
        <v>141.9799999999982</v>
      </c>
      <c r="F81" s="9">
        <v>1.2885000000000004</v>
      </c>
      <c r="G81">
        <v>121.74999999999589</v>
      </c>
      <c r="H81" s="9">
        <v>1.2400000000000091</v>
      </c>
      <c r="J81" s="9">
        <v>1.183500000000018</v>
      </c>
      <c r="L81" s="9">
        <v>1.1890000000000815</v>
      </c>
      <c r="M81" s="9">
        <v>1.1600000000000243</v>
      </c>
      <c r="N81" s="9">
        <v>3.8024999999995703</v>
      </c>
      <c r="P81">
        <v>115.8499999999955</v>
      </c>
    </row>
    <row r="82" spans="1:17" x14ac:dyDescent="0.25">
      <c r="A82" s="7">
        <v>46192</v>
      </c>
      <c r="B82" s="9">
        <v>1.1814999999999976</v>
      </c>
      <c r="C82">
        <v>142.20000000000212</v>
      </c>
      <c r="F82" s="9">
        <v>1.2919999999999319</v>
      </c>
      <c r="G82">
        <v>122.0999999999971</v>
      </c>
      <c r="H82" s="9">
        <v>1.2499999999999445</v>
      </c>
      <c r="J82" s="9">
        <v>1.1830099999999724</v>
      </c>
      <c r="L82" s="9">
        <v>1.1819999999999333</v>
      </c>
      <c r="M82" s="9">
        <v>1.1599999999999582</v>
      </c>
      <c r="N82" s="9">
        <v>3.8040000000000389</v>
      </c>
      <c r="P82">
        <v>115.99999999999871</v>
      </c>
    </row>
    <row r="83" spans="1:17" x14ac:dyDescent="0.25">
      <c r="A83" s="7">
        <v>46195</v>
      </c>
      <c r="B83" s="9">
        <v>1.1820000000000173</v>
      </c>
      <c r="C83">
        <v>141.9000000000014</v>
      </c>
      <c r="F83" s="9">
        <v>1.2920000000000176</v>
      </c>
      <c r="G83">
        <v>122.21000000000063</v>
      </c>
      <c r="H83" s="9">
        <v>1.2499999999999964</v>
      </c>
      <c r="J83" s="9">
        <v>1.1850000000000214</v>
      </c>
      <c r="L83" s="9">
        <v>1.1900000000000241</v>
      </c>
      <c r="M83" s="9">
        <v>1.1650000000000262</v>
      </c>
      <c r="N83" s="9">
        <v>3.8054999999997468</v>
      </c>
      <c r="P83">
        <v>115.89999999999915</v>
      </c>
    </row>
    <row r="84" spans="1:17" x14ac:dyDescent="0.25">
      <c r="A84" s="7">
        <v>46196</v>
      </c>
      <c r="B84" s="9">
        <v>1.1750000000000003</v>
      </c>
      <c r="C84">
        <v>141.51899999999259</v>
      </c>
      <c r="F84" s="9">
        <v>1.286500000000089</v>
      </c>
      <c r="G84">
        <v>121.49999999999996</v>
      </c>
      <c r="H84" s="9">
        <v>1.245200000000007</v>
      </c>
      <c r="J84" s="9">
        <v>1.1839999999999786</v>
      </c>
      <c r="L84" s="9">
        <v>1.1844999999999828</v>
      </c>
      <c r="M84" s="9">
        <v>1.1600000000000272</v>
      </c>
      <c r="N84" s="9">
        <v>3.7839999999999971</v>
      </c>
      <c r="P84">
        <v>115.79999999999939</v>
      </c>
    </row>
    <row r="85" spans="1:17" x14ac:dyDescent="0.25">
      <c r="A85" s="7">
        <v>46197</v>
      </c>
      <c r="B85" s="9">
        <v>1.1784699999999635</v>
      </c>
      <c r="C85">
        <v>141.34999999999647</v>
      </c>
      <c r="F85" s="9">
        <v>1.2860000000000162</v>
      </c>
      <c r="G85">
        <v>121.52400000000232</v>
      </c>
      <c r="H85" s="9">
        <v>1.2446900000000436</v>
      </c>
      <c r="J85" s="9">
        <v>1.1837999999999966</v>
      </c>
      <c r="L85" s="9">
        <v>1.1675000000000009</v>
      </c>
      <c r="M85" s="9">
        <v>1.157499999999964</v>
      </c>
      <c r="N85" s="9">
        <v>3.765999999999539</v>
      </c>
      <c r="P85">
        <v>115.85000000000105</v>
      </c>
    </row>
    <row r="86" spans="1:17" x14ac:dyDescent="0.25">
      <c r="A86" s="7">
        <v>46198</v>
      </c>
      <c r="B86" s="9">
        <v>1.1760000000000139</v>
      </c>
      <c r="C86">
        <v>141.19999999999828</v>
      </c>
      <c r="F86" s="9">
        <v>1.2879999999999736</v>
      </c>
      <c r="G86">
        <v>121.79000000000353</v>
      </c>
      <c r="H86" s="9">
        <v>1.2294999999999572</v>
      </c>
      <c r="J86" s="9">
        <v>1.1825000000000259</v>
      </c>
      <c r="L86" s="9">
        <v>1.1700000000000288</v>
      </c>
      <c r="M86" s="9">
        <v>1.1540000000000674</v>
      </c>
      <c r="N86" s="9">
        <v>3.7559999999994562</v>
      </c>
      <c r="P86">
        <v>115.90000000000144</v>
      </c>
    </row>
    <row r="87" spans="1:17" x14ac:dyDescent="0.25">
      <c r="A87" s="7">
        <v>46199</v>
      </c>
      <c r="B87" s="9">
        <v>1.1811000000000313</v>
      </c>
      <c r="C87">
        <v>141.60000000000085</v>
      </c>
      <c r="F87" s="9">
        <v>1.2909999999999757</v>
      </c>
      <c r="G87">
        <v>122.80000000000007</v>
      </c>
      <c r="H87" s="9">
        <v>1.2249999999999914</v>
      </c>
      <c r="J87" s="9">
        <v>1.1854999999999942</v>
      </c>
      <c r="L87" s="9">
        <v>1.1665000000000254</v>
      </c>
      <c r="M87" s="9">
        <v>1.1580000000000199</v>
      </c>
      <c r="N87" s="9">
        <v>3.7524999999993192</v>
      </c>
      <c r="P87">
        <v>116.19999999999844</v>
      </c>
    </row>
    <row r="88" spans="1:17" x14ac:dyDescent="0.25">
      <c r="A88" s="7">
        <v>46202</v>
      </c>
      <c r="B88" s="9">
        <v>1.1855500000000281</v>
      </c>
      <c r="C88">
        <v>142.25000000000114</v>
      </c>
      <c r="F88" s="9">
        <v>1.2983899999999551</v>
      </c>
      <c r="G88">
        <v>122.85000000000015</v>
      </c>
      <c r="H88" s="9">
        <v>1.2374999999999325</v>
      </c>
      <c r="J88" s="9">
        <v>1.1876999999999795</v>
      </c>
      <c r="L88" s="9">
        <v>1.1750000000000045</v>
      </c>
      <c r="M88" s="9">
        <v>1.1645000000000396</v>
      </c>
      <c r="N88" s="9">
        <v>3.7709999999994288</v>
      </c>
      <c r="P88">
        <v>116.19999999999891</v>
      </c>
    </row>
    <row r="89" spans="1:17" x14ac:dyDescent="0.25">
      <c r="A89" s="7">
        <v>46203</v>
      </c>
      <c r="B89" s="9">
        <v>1.1890000000000192</v>
      </c>
      <c r="C89">
        <v>142.84000000000216</v>
      </c>
      <c r="F89" s="9">
        <v>1.3018899999999989</v>
      </c>
      <c r="G89">
        <v>123.05999999999922</v>
      </c>
      <c r="H89" s="9">
        <v>1.2564499999999315</v>
      </c>
      <c r="J89" s="9">
        <v>1.1890000000000207</v>
      </c>
      <c r="L89" s="9">
        <v>1.181500000000004</v>
      </c>
      <c r="M89" s="9">
        <v>1.1629999999999696</v>
      </c>
      <c r="N89" s="9">
        <v>3.7769999999996382</v>
      </c>
      <c r="P89">
        <v>116.49999999999818</v>
      </c>
      <c r="Q89">
        <v>101.69999999999537</v>
      </c>
    </row>
    <row r="90" spans="1:17" x14ac:dyDescent="0.25">
      <c r="A90" s="7">
        <v>46204</v>
      </c>
      <c r="B90" s="9">
        <v>1.1880000000000264</v>
      </c>
      <c r="C90">
        <v>143.00000000000205</v>
      </c>
      <c r="F90" s="9">
        <v>1.3029000000000499</v>
      </c>
      <c r="G90">
        <v>123.69999999999912</v>
      </c>
      <c r="H90" s="9">
        <v>1.248000000000012</v>
      </c>
      <c r="J90" s="9">
        <v>1.1889999999999905</v>
      </c>
      <c r="L90" s="9">
        <v>1.1785000000000299</v>
      </c>
      <c r="M90" s="9">
        <v>1.1630000000000142</v>
      </c>
      <c r="N90" s="9">
        <v>3.7699999999995493</v>
      </c>
      <c r="P90">
        <v>116.14999999999726</v>
      </c>
      <c r="Q90">
        <v>101.59999999998949</v>
      </c>
    </row>
    <row r="91" spans="1:17" x14ac:dyDescent="0.25">
      <c r="A91" s="7">
        <v>46205</v>
      </c>
      <c r="B91" s="9">
        <v>1.1879999999999871</v>
      </c>
      <c r="C91">
        <v>143.24899999999764</v>
      </c>
      <c r="F91" s="9">
        <v>1.305500000000015</v>
      </c>
      <c r="G91">
        <v>123.44999999999722</v>
      </c>
      <c r="H91" s="9">
        <v>1.2519999999999423</v>
      </c>
      <c r="J91" s="9">
        <v>1.1906999999999592</v>
      </c>
      <c r="L91" s="9">
        <v>1.1875000000000007</v>
      </c>
      <c r="M91" s="9">
        <v>1.163000000000006</v>
      </c>
      <c r="N91" s="9">
        <v>3.7789999999993489</v>
      </c>
      <c r="P91">
        <v>116.20000000000172</v>
      </c>
      <c r="Q91">
        <v>101.69999999998738</v>
      </c>
    </row>
    <row r="92" spans="1:17" x14ac:dyDescent="0.25">
      <c r="A92" s="7">
        <v>46206</v>
      </c>
      <c r="B92" s="9">
        <v>1.1904999999999952</v>
      </c>
      <c r="C92">
        <v>143.99999999999963</v>
      </c>
      <c r="F92" s="9">
        <v>1.3100000000000049</v>
      </c>
      <c r="G92">
        <v>123.609999999994</v>
      </c>
      <c r="H92" s="9">
        <v>1.2560000000000466</v>
      </c>
      <c r="J92" s="9">
        <v>1.1941200000000296</v>
      </c>
      <c r="L92" s="9">
        <v>1.1845000000000234</v>
      </c>
      <c r="M92" s="9">
        <v>1.1649999999999661</v>
      </c>
      <c r="N92" s="9">
        <v>3.804500000000008</v>
      </c>
      <c r="P92">
        <v>116.54999999999748</v>
      </c>
      <c r="Q92">
        <v>102.29999999999512</v>
      </c>
    </row>
    <row r="93" spans="1:17" x14ac:dyDescent="0.25">
      <c r="A93" s="7">
        <v>46209</v>
      </c>
      <c r="B93" s="9">
        <v>1.1909999999999537</v>
      </c>
      <c r="C93">
        <v>143.20000000000056</v>
      </c>
      <c r="F93" s="9">
        <v>1.3119999999999485</v>
      </c>
      <c r="G93">
        <v>123.99900000000123</v>
      </c>
      <c r="H93" s="9">
        <v>1.2590000000000168</v>
      </c>
      <c r="J93" s="9">
        <v>1.1967499999999733</v>
      </c>
      <c r="L93" s="9">
        <v>1.1884999999999668</v>
      </c>
      <c r="M93" s="9">
        <v>1.1614999999999771</v>
      </c>
      <c r="N93" s="9">
        <v>3.8280000000001455</v>
      </c>
      <c r="P93">
        <v>116.60000000000039</v>
      </c>
      <c r="Q93">
        <v>102.49999999999355</v>
      </c>
    </row>
    <row r="94" spans="1:17" x14ac:dyDescent="0.25">
      <c r="A94" s="7">
        <v>46210</v>
      </c>
      <c r="B94" s="9">
        <v>1.1910999999999721</v>
      </c>
      <c r="C94">
        <v>144.1999999999997</v>
      </c>
      <c r="F94" s="9">
        <v>1.313100000000033</v>
      </c>
      <c r="G94">
        <v>124.49999999999707</v>
      </c>
      <c r="H94" s="9">
        <v>1.2650000000000547</v>
      </c>
      <c r="J94" s="9">
        <v>1.1960000000000157</v>
      </c>
      <c r="L94" s="9">
        <v>1.1879999999999882</v>
      </c>
      <c r="M94" s="9">
        <v>1.1689999999999841</v>
      </c>
      <c r="N94" s="9">
        <v>3.8329999999999433</v>
      </c>
      <c r="P94">
        <v>116.64999999999654</v>
      </c>
      <c r="Q94">
        <v>102.79999999999593</v>
      </c>
    </row>
    <row r="95" spans="1:17" x14ac:dyDescent="0.25">
      <c r="A95" s="7">
        <v>46211</v>
      </c>
      <c r="B95" s="9">
        <v>1.1954800000000181</v>
      </c>
      <c r="C95">
        <v>143.9999999999992</v>
      </c>
      <c r="F95" s="9">
        <v>1.3150000000000088</v>
      </c>
      <c r="G95">
        <v>124.70100000000406</v>
      </c>
      <c r="H95" s="9">
        <v>1.267500000000092</v>
      </c>
      <c r="J95" s="9">
        <v>1.1994999999999825</v>
      </c>
      <c r="L95" s="9">
        <v>1.1800000000000175</v>
      </c>
      <c r="M95" s="9">
        <v>1.1689999999999485</v>
      </c>
      <c r="N95" s="9">
        <v>3.8399999999999888</v>
      </c>
      <c r="P95">
        <v>117.04999999999713</v>
      </c>
      <c r="Q95">
        <v>102.89999999999743</v>
      </c>
    </row>
    <row r="96" spans="1:17" x14ac:dyDescent="0.25">
      <c r="A96" s="7">
        <v>46213</v>
      </c>
      <c r="B96" s="9">
        <v>1.1984999999999846</v>
      </c>
      <c r="C96">
        <v>144.39999999999878</v>
      </c>
      <c r="F96" s="9">
        <v>1.315500000000043</v>
      </c>
      <c r="G96">
        <v>125.99999999999356</v>
      </c>
      <c r="H96" s="9">
        <v>1.2749999999999952</v>
      </c>
      <c r="J96" s="9">
        <v>1.2011199999999851</v>
      </c>
      <c r="L96" s="9"/>
      <c r="M96" s="9">
        <v>1.1789999999999943</v>
      </c>
      <c r="N96" s="9">
        <v>3.8379999999999854</v>
      </c>
      <c r="P96">
        <v>118.95000000000233</v>
      </c>
      <c r="Q96">
        <v>103.99999999999206</v>
      </c>
    </row>
    <row r="97" spans="1:17" x14ac:dyDescent="0.25">
      <c r="A97" s="7">
        <v>46216</v>
      </c>
      <c r="B97" s="9">
        <v>1.1938999999999635</v>
      </c>
      <c r="C97">
        <v>144.31999999999823</v>
      </c>
      <c r="F97" s="9">
        <v>1.3159999999999892</v>
      </c>
      <c r="G97">
        <v>124.50000000000504</v>
      </c>
      <c r="H97" s="9">
        <v>1.2680999999999947</v>
      </c>
      <c r="J97" s="9">
        <v>1.1989999999999967</v>
      </c>
      <c r="L97" s="9">
        <v>1.190000000000061</v>
      </c>
      <c r="M97" s="9">
        <v>1.1680000000000168</v>
      </c>
      <c r="N97" s="9">
        <v>3.8379999999999446</v>
      </c>
      <c r="P97">
        <v>117.00000000000126</v>
      </c>
      <c r="Q97">
        <v>102.8999999999991</v>
      </c>
    </row>
    <row r="98" spans="1:17" x14ac:dyDescent="0.25">
      <c r="A98" s="7">
        <v>46217</v>
      </c>
      <c r="B98" s="9">
        <v>1.1926200000000151</v>
      </c>
      <c r="C98">
        <v>144.04999999999967</v>
      </c>
      <c r="F98" s="9">
        <v>1.3155000000000272</v>
      </c>
      <c r="G98">
        <v>124.43900000000487</v>
      </c>
      <c r="H98" s="9">
        <v>1.2689899999999412</v>
      </c>
      <c r="J98" s="9">
        <v>1.1994999999999936</v>
      </c>
      <c r="L98" s="9">
        <v>1.1894999999999463</v>
      </c>
      <c r="M98" s="9">
        <v>1.1679999999999691</v>
      </c>
      <c r="N98" s="9">
        <v>3.8444999999997322</v>
      </c>
      <c r="P98">
        <v>117.10000000000029</v>
      </c>
      <c r="Q98">
        <v>103.00000000000003</v>
      </c>
    </row>
    <row r="99" spans="1:17" x14ac:dyDescent="0.25">
      <c r="A99" s="7">
        <v>46218</v>
      </c>
      <c r="B99" s="9">
        <v>1.1969999999999694</v>
      </c>
      <c r="C99">
        <v>144.35000000000323</v>
      </c>
      <c r="F99" s="9">
        <v>1.3170000000000386</v>
      </c>
      <c r="G99">
        <v>124.44999999999176</v>
      </c>
      <c r="H99" s="9">
        <v>1.2750000000000268</v>
      </c>
      <c r="J99" s="9">
        <v>1.1987100000000031</v>
      </c>
      <c r="L99" s="9">
        <v>1.191000000000014</v>
      </c>
      <c r="M99" s="9">
        <v>1.172000000000011</v>
      </c>
      <c r="N99" s="9">
        <v>3.8474999999999659</v>
      </c>
      <c r="P99">
        <v>117.10000000000097</v>
      </c>
      <c r="Q99">
        <v>103.75000000000189</v>
      </c>
    </row>
    <row r="100" spans="1:17" x14ac:dyDescent="0.25">
      <c r="A100" s="7">
        <v>46219</v>
      </c>
      <c r="B100" s="9">
        <v>1.1926299999999901</v>
      </c>
      <c r="C100">
        <v>143.79999999999671</v>
      </c>
      <c r="F100" s="9">
        <v>1.3149899999999441</v>
      </c>
      <c r="G100">
        <v>124.31999999999903</v>
      </c>
      <c r="H100" s="9">
        <v>1.2700000000000005</v>
      </c>
      <c r="J100" s="9">
        <v>1.201399999999996</v>
      </c>
      <c r="L100" s="9">
        <v>1.1904999999999628</v>
      </c>
      <c r="M100" s="9">
        <v>1.1679999999999908</v>
      </c>
      <c r="N100" s="9">
        <v>3.8449999999996027</v>
      </c>
      <c r="P100">
        <v>116.95000000000159</v>
      </c>
      <c r="Q100">
        <v>103.29999999999767</v>
      </c>
    </row>
    <row r="101" spans="1:17" x14ac:dyDescent="0.25">
      <c r="A101" s="7">
        <v>46220</v>
      </c>
      <c r="B101" s="9">
        <v>1.196399999999985</v>
      </c>
      <c r="C101">
        <v>144.34000000000395</v>
      </c>
      <c r="F101" s="9">
        <v>1.3171999999999926</v>
      </c>
      <c r="G101">
        <v>124.45000000000191</v>
      </c>
      <c r="H101" s="9">
        <v>1.2618999999999929</v>
      </c>
      <c r="J101" s="9">
        <v>1.2036000000000011</v>
      </c>
      <c r="L101" s="9">
        <v>1.1945000000000174</v>
      </c>
      <c r="M101" s="9">
        <v>1.1649999999999787</v>
      </c>
      <c r="N101" s="9">
        <v>3.8449999999998776</v>
      </c>
      <c r="P101">
        <v>117.19999999999719</v>
      </c>
      <c r="Q101">
        <v>103.09999999999906</v>
      </c>
    </row>
    <row r="102" spans="1:17" x14ac:dyDescent="0.25">
      <c r="A102" s="7">
        <v>46223</v>
      </c>
      <c r="B102" s="9">
        <v>1.1967900000000185</v>
      </c>
      <c r="C102">
        <v>144.20000000000377</v>
      </c>
      <c r="F102" s="9">
        <v>1.3159999999999488</v>
      </c>
      <c r="G102">
        <v>124.3700000000004</v>
      </c>
      <c r="H102" s="9">
        <v>1.25999999999999</v>
      </c>
      <c r="J102" s="9">
        <v>1.2069999999999925</v>
      </c>
      <c r="L102" s="9">
        <v>1.1905000000000097</v>
      </c>
      <c r="M102" s="9">
        <v>1.1709999999999652</v>
      </c>
      <c r="N102" s="9">
        <v>3.8524999999998011</v>
      </c>
      <c r="P102">
        <v>117.20000000000171</v>
      </c>
      <c r="Q102">
        <v>103.15000000000003</v>
      </c>
    </row>
    <row r="103" spans="1:17" x14ac:dyDescent="0.25">
      <c r="A103" s="7">
        <v>46224</v>
      </c>
      <c r="B103" s="9">
        <v>1.1964299999999783</v>
      </c>
      <c r="C103">
        <v>143.99999999999886</v>
      </c>
      <c r="F103" s="9">
        <v>1.3161999999999969</v>
      </c>
      <c r="G103">
        <v>124.28999999999924</v>
      </c>
      <c r="H103" s="9">
        <v>1.2587999999999977</v>
      </c>
      <c r="J103" s="9">
        <v>1.2069999999999925</v>
      </c>
      <c r="L103" s="9">
        <v>1.1940000000000539</v>
      </c>
      <c r="M103" s="9">
        <v>1.1780000000000272</v>
      </c>
      <c r="N103" s="9">
        <v>3.8520000000000461</v>
      </c>
      <c r="P103">
        <v>117.39999999999964</v>
      </c>
      <c r="Q103">
        <v>103.19999999999251</v>
      </c>
    </row>
    <row r="104" spans="1:17" x14ac:dyDescent="0.25">
      <c r="A104" s="7">
        <v>46225</v>
      </c>
      <c r="B104" s="9">
        <v>1.1965000000000026</v>
      </c>
      <c r="C104">
        <v>144.09999999999738</v>
      </c>
      <c r="F104" s="9">
        <v>1.3149800000000322</v>
      </c>
      <c r="G104">
        <v>124.0989999999983</v>
      </c>
      <c r="H104" s="9">
        <v>1.2564999999999862</v>
      </c>
      <c r="J104" s="9">
        <v>1.207999999999998</v>
      </c>
      <c r="L104" s="9">
        <v>1.1959999999999964</v>
      </c>
      <c r="M104" s="9">
        <v>1.1789999999999383</v>
      </c>
      <c r="N104" s="9">
        <v>3.864499999999929</v>
      </c>
      <c r="P104">
        <v>117.39999999999702</v>
      </c>
      <c r="Q104">
        <v>103.39999999999921</v>
      </c>
    </row>
    <row r="105" spans="1:17" x14ac:dyDescent="0.25">
      <c r="A105" s="7">
        <v>46226</v>
      </c>
      <c r="B105" s="9">
        <v>1.1964999999999753</v>
      </c>
      <c r="C105">
        <v>144.13899999999774</v>
      </c>
      <c r="F105" s="9">
        <v>1.3127999999999656</v>
      </c>
      <c r="G105">
        <v>123.90000000000185</v>
      </c>
      <c r="H105" s="9">
        <v>1.2534999999999517</v>
      </c>
      <c r="J105" s="9">
        <v>1.2095000000000156</v>
      </c>
      <c r="L105" s="9">
        <v>1.1969999999999317</v>
      </c>
      <c r="M105" s="9">
        <v>1.1830000000000149</v>
      </c>
      <c r="N105" s="9">
        <v>3.8660000000001036</v>
      </c>
      <c r="P105">
        <v>117.59999999999798</v>
      </c>
      <c r="Q105">
        <v>103.40000000000072</v>
      </c>
    </row>
    <row r="106" spans="1:17" x14ac:dyDescent="0.25">
      <c r="A106" s="7">
        <v>46227</v>
      </c>
      <c r="B106" s="9">
        <v>1.1989999999999943</v>
      </c>
      <c r="C106">
        <v>144.19999999999993</v>
      </c>
      <c r="F106" s="9">
        <v>1.3145000000000133</v>
      </c>
      <c r="G106">
        <v>123.85000000000007</v>
      </c>
      <c r="H106" s="9">
        <v>1.2569999999999748</v>
      </c>
      <c r="J106" s="9">
        <v>1.2115999999999791</v>
      </c>
      <c r="L106" s="9">
        <v>1.198000000000031</v>
      </c>
      <c r="M106" s="9">
        <v>1.1840000000000204</v>
      </c>
      <c r="N106" s="9">
        <v>3.8744999999995748</v>
      </c>
      <c r="P106">
        <v>117.84999999999715</v>
      </c>
      <c r="Q106">
        <v>103.79999999999725</v>
      </c>
    </row>
    <row r="107" spans="1:17" x14ac:dyDescent="0.25">
      <c r="A107" s="7">
        <v>46230</v>
      </c>
      <c r="B107" s="9">
        <v>1.1993099999999854</v>
      </c>
      <c r="C107">
        <v>144.51899999999969</v>
      </c>
      <c r="F107" s="9">
        <v>1.3142499999999253</v>
      </c>
      <c r="G107">
        <v>124.04999999999802</v>
      </c>
      <c r="H107" s="9">
        <v>1.2560000000000233</v>
      </c>
      <c r="J107" s="9">
        <v>1.2118000000000122</v>
      </c>
      <c r="L107" s="9">
        <v>1.2000000000000353</v>
      </c>
      <c r="M107" s="9">
        <v>1.1849999999999445</v>
      </c>
      <c r="N107" s="9">
        <v>3.8799999999998103</v>
      </c>
      <c r="P107">
        <v>117.80000000000182</v>
      </c>
      <c r="Q107">
        <v>103.94999999999808</v>
      </c>
    </row>
    <row r="108" spans="1:17" x14ac:dyDescent="0.25">
      <c r="A108" s="7">
        <v>46231</v>
      </c>
      <c r="B108" s="9">
        <v>1.1983500000000022</v>
      </c>
      <c r="C108">
        <v>144.19999999999581</v>
      </c>
      <c r="F108" s="9">
        <v>1.3119999999999927</v>
      </c>
      <c r="G108">
        <v>123.94999999999739</v>
      </c>
      <c r="H108" s="9">
        <v>1.2559999999999478</v>
      </c>
      <c r="J108" s="9">
        <v>1.2124700000000102</v>
      </c>
      <c r="L108" s="9">
        <v>1.2000000000000659</v>
      </c>
      <c r="M108" s="9">
        <v>1.1809999999999881</v>
      </c>
      <c r="N108" s="9">
        <v>3.8784999999999799</v>
      </c>
      <c r="P108">
        <v>118.35000000000147</v>
      </c>
      <c r="Q108">
        <v>104.24999999999976</v>
      </c>
    </row>
    <row r="109" spans="1:17" x14ac:dyDescent="0.25">
      <c r="A109" s="7">
        <v>46232</v>
      </c>
      <c r="B109" s="9">
        <v>1.1989999999999854</v>
      </c>
      <c r="C109">
        <v>144.69500000000309</v>
      </c>
      <c r="F109" s="9">
        <v>1.3147000000000142</v>
      </c>
      <c r="G109">
        <v>123.84999999999707</v>
      </c>
      <c r="H109" s="9">
        <v>1.2569999999999324</v>
      </c>
      <c r="J109" s="9">
        <v>1.2124999999999957</v>
      </c>
      <c r="L109" s="9">
        <v>1.2095000000000846</v>
      </c>
      <c r="M109" s="9">
        <v>1.1819999999999511</v>
      </c>
      <c r="N109" s="9">
        <v>3.8809999999997609</v>
      </c>
      <c r="P109">
        <v>118.20000000000171</v>
      </c>
      <c r="Q109">
        <v>103.74999999999976</v>
      </c>
    </row>
    <row r="110" spans="1:17" x14ac:dyDescent="0.25">
      <c r="A110" s="7">
        <v>46233</v>
      </c>
      <c r="B110" s="9">
        <v>1.1975000000000104</v>
      </c>
      <c r="C110">
        <v>143.70000000000095</v>
      </c>
      <c r="F110" s="9">
        <v>1.3110000000000068</v>
      </c>
      <c r="G110">
        <v>123.69999999999722</v>
      </c>
      <c r="H110" s="9">
        <v>1.2524999999999391</v>
      </c>
      <c r="J110" s="9">
        <v>1.2112000000000094</v>
      </c>
      <c r="L110" s="9">
        <v>1.2054999999999476</v>
      </c>
      <c r="M110" s="9">
        <v>1.1764999999999075</v>
      </c>
      <c r="N110" s="9">
        <v>3.8739999999998651</v>
      </c>
      <c r="P110">
        <v>118.04999999999643</v>
      </c>
      <c r="Q110">
        <v>103.69999999999958</v>
      </c>
    </row>
    <row r="111" spans="1:17" x14ac:dyDescent="0.25">
      <c r="A111" s="7">
        <v>46234</v>
      </c>
      <c r="B111" s="9">
        <v>1.1989000000000085</v>
      </c>
      <c r="C111">
        <v>144.49999999999986</v>
      </c>
      <c r="F111" s="9">
        <v>1.310999999999944</v>
      </c>
      <c r="G111">
        <v>123.58999999999905</v>
      </c>
      <c r="H111" s="9">
        <v>1.2544000000000031</v>
      </c>
      <c r="J111" s="9">
        <v>1.2140000000000157</v>
      </c>
      <c r="L111" s="9">
        <v>1.2099999999999793</v>
      </c>
      <c r="M111" s="9">
        <v>1.170999999999824</v>
      </c>
      <c r="N111" s="9">
        <v>3.8749999999999254</v>
      </c>
      <c r="P111">
        <v>117.90000000000389</v>
      </c>
      <c r="Q111">
        <v>103.9999999999972</v>
      </c>
    </row>
    <row r="112" spans="1:17" x14ac:dyDescent="0.25">
      <c r="A112" s="7">
        <v>46237</v>
      </c>
      <c r="B112" s="9">
        <v>1.2013999999999874</v>
      </c>
      <c r="C112">
        <v>144.85999999999999</v>
      </c>
      <c r="F112" s="9">
        <v>1.3137999999999928</v>
      </c>
      <c r="G112">
        <v>123.90000000000416</v>
      </c>
      <c r="H112" s="9">
        <v>1.2557999999999565</v>
      </c>
      <c r="J112" s="9">
        <v>1.2136999999999893</v>
      </c>
      <c r="L112" s="9">
        <v>1.2039999999999846</v>
      </c>
      <c r="M112" s="9">
        <v>1.1749999999998584</v>
      </c>
      <c r="N112" s="9">
        <v>3.8799999999998884</v>
      </c>
      <c r="P112">
        <v>118.54999999999949</v>
      </c>
      <c r="Q112">
        <v>104.49999999999635</v>
      </c>
    </row>
    <row r="113" spans="1:17" x14ac:dyDescent="0.25">
      <c r="A113" s="7">
        <v>46238</v>
      </c>
      <c r="B113" s="9">
        <v>1.2015000000000005</v>
      </c>
      <c r="C113">
        <v>144.89999999999725</v>
      </c>
      <c r="F113" s="9">
        <v>1.3129999999999333</v>
      </c>
      <c r="G113">
        <v>123.74899999999943</v>
      </c>
      <c r="H113" s="9">
        <v>1.2559999999999634</v>
      </c>
      <c r="J113" s="9">
        <v>1.2145100000000122</v>
      </c>
      <c r="L113" s="9">
        <v>1.1970000000000127</v>
      </c>
      <c r="M113" s="9">
        <v>1.1769999999999075</v>
      </c>
      <c r="N113" s="9">
        <v>3.8850000000000544</v>
      </c>
      <c r="P113">
        <v>118.45000000000134</v>
      </c>
      <c r="Q113">
        <v>104.54999999999426</v>
      </c>
    </row>
    <row r="114" spans="1:17" x14ac:dyDescent="0.25">
      <c r="A114" s="7">
        <v>46239</v>
      </c>
      <c r="B114" s="9">
        <v>1.200999999999989</v>
      </c>
      <c r="C114">
        <v>144.20700000000176</v>
      </c>
      <c r="F114" s="9">
        <v>1.3117599999999756</v>
      </c>
      <c r="G114">
        <v>123.79999999999546</v>
      </c>
      <c r="H114" s="9">
        <v>1.2550000000000188</v>
      </c>
      <c r="J114" s="9">
        <v>1.2140000000000015</v>
      </c>
      <c r="L114" s="9">
        <v>1.1964999999999746</v>
      </c>
      <c r="M114" s="9">
        <v>1.1769999999999197</v>
      </c>
      <c r="N114" s="9">
        <v>3.8789999999998797</v>
      </c>
      <c r="P114">
        <v>117.99999999999756</v>
      </c>
      <c r="Q114">
        <v>104.2499999999946</v>
      </c>
    </row>
    <row r="115" spans="1:17" x14ac:dyDescent="0.25">
      <c r="A115" s="7">
        <v>46240</v>
      </c>
      <c r="B115" s="9">
        <v>1.2005000000000094</v>
      </c>
      <c r="C115">
        <v>144.23999999999538</v>
      </c>
      <c r="F115" s="9">
        <v>1.309999999999965</v>
      </c>
      <c r="G115">
        <v>123.24900000000399</v>
      </c>
      <c r="H115" s="9">
        <v>1.2505000000000397</v>
      </c>
      <c r="J115" s="9">
        <v>1.2149999999999879</v>
      </c>
      <c r="L115" s="9">
        <v>1.1869999999999015</v>
      </c>
      <c r="M115" s="9">
        <v>1.1769999999998868</v>
      </c>
      <c r="N115" s="9">
        <v>3.879999999999789</v>
      </c>
      <c r="P115">
        <v>118.25000000000043</v>
      </c>
      <c r="Q115">
        <v>104.39999999999765</v>
      </c>
    </row>
    <row r="116" spans="1:17" x14ac:dyDescent="0.25">
      <c r="A116" s="7">
        <v>46241</v>
      </c>
      <c r="B116" s="9">
        <v>1.2027000000000181</v>
      </c>
      <c r="C116">
        <v>144.19900000000206</v>
      </c>
      <c r="F116" s="9">
        <v>1.3089000000000388</v>
      </c>
      <c r="G116">
        <v>123.19999999999898</v>
      </c>
      <c r="H116" s="9">
        <v>1.2559999999999547</v>
      </c>
      <c r="J116" s="9">
        <v>1.2187500000000131</v>
      </c>
      <c r="L116" s="9">
        <v>1.1994999999999145</v>
      </c>
      <c r="M116" s="9">
        <v>1.1804999999999233</v>
      </c>
      <c r="N116" s="9">
        <v>3.8849999999997529</v>
      </c>
      <c r="P116">
        <v>118.74999999999885</v>
      </c>
      <c r="Q116">
        <v>104.54999999999815</v>
      </c>
    </row>
    <row r="117" spans="1:17" x14ac:dyDescent="0.25">
      <c r="A117" s="7">
        <v>46244</v>
      </c>
      <c r="B117" s="9">
        <v>1.2029999999999919</v>
      </c>
      <c r="C117">
        <v>144.39999999999887</v>
      </c>
      <c r="F117" s="9">
        <v>1.3120000000000263</v>
      </c>
      <c r="G117">
        <v>123.44999999999322</v>
      </c>
      <c r="H117" s="9">
        <v>1.2570000000000301</v>
      </c>
      <c r="J117" s="9">
        <v>1.220499999999981</v>
      </c>
      <c r="L117" s="9">
        <v>1.2089999999999939</v>
      </c>
      <c r="M117" s="9">
        <v>1.1809999999998999</v>
      </c>
      <c r="N117" s="9">
        <v>3.8834999999997488</v>
      </c>
      <c r="P117">
        <v>118.84999999999852</v>
      </c>
      <c r="Q117">
        <v>104.74999999999784</v>
      </c>
    </row>
    <row r="118" spans="1:17" x14ac:dyDescent="0.25">
      <c r="A118" s="7">
        <v>46245</v>
      </c>
      <c r="B118" s="9">
        <v>1.2037499999999945</v>
      </c>
      <c r="C118">
        <v>144.45099999999795</v>
      </c>
      <c r="F118" s="9">
        <v>1.3099999999999681</v>
      </c>
      <c r="G118">
        <v>123.24999999999895</v>
      </c>
      <c r="H118" s="9">
        <v>1.2529999999999064</v>
      </c>
      <c r="J118" s="9">
        <v>1.2209999999999785</v>
      </c>
      <c r="L118" s="9">
        <v>1.2054999999999807</v>
      </c>
      <c r="M118" s="9">
        <v>1.1849999999999605</v>
      </c>
      <c r="N118" s="9">
        <v>3.8839999999998138</v>
      </c>
      <c r="P118">
        <v>119.05000000000476</v>
      </c>
      <c r="Q118">
        <v>104.79999999999995</v>
      </c>
    </row>
    <row r="119" spans="1:17" x14ac:dyDescent="0.25">
      <c r="A119" s="7">
        <v>46246</v>
      </c>
      <c r="B119" s="9">
        <v>1.2055100000000101</v>
      </c>
      <c r="C119">
        <v>144.55000000000055</v>
      </c>
      <c r="F119" s="9">
        <v>1.3114999999999635</v>
      </c>
      <c r="G119">
        <v>123.29999999999902</v>
      </c>
      <c r="H119" s="9">
        <v>1.252999999999947</v>
      </c>
      <c r="J119" s="9">
        <v>1.2225000000000017</v>
      </c>
      <c r="L119" s="9">
        <v>1.2059999999999635</v>
      </c>
      <c r="M119" s="9">
        <v>1.1849999999999625</v>
      </c>
      <c r="N119" s="9">
        <v>3.8849999999997475</v>
      </c>
      <c r="P119">
        <v>119.09999999999854</v>
      </c>
      <c r="Q119">
        <v>105.2000000000002</v>
      </c>
    </row>
    <row r="120" spans="1:17" x14ac:dyDescent="0.25">
      <c r="A120" s="7">
        <v>46247</v>
      </c>
      <c r="B120" s="9">
        <v>1.2072999999999883</v>
      </c>
      <c r="C120">
        <v>144.64999999999978</v>
      </c>
      <c r="F120" s="9">
        <v>1.3113000000000332</v>
      </c>
      <c r="G120">
        <v>123.60000000000073</v>
      </c>
      <c r="H120" s="9">
        <v>1.2585000000000228</v>
      </c>
      <c r="J120" s="9">
        <v>1.2244000000000141</v>
      </c>
      <c r="L120" s="9">
        <v>1.2110000000000176</v>
      </c>
      <c r="M120" s="9">
        <v>1.1879999999999267</v>
      </c>
      <c r="N120" s="9">
        <v>3.8779999999994397</v>
      </c>
      <c r="P120">
        <v>119.15000000000187</v>
      </c>
      <c r="Q120">
        <v>104.99999999999901</v>
      </c>
    </row>
    <row r="121" spans="1:17" x14ac:dyDescent="0.25">
      <c r="A121" s="7">
        <v>46248</v>
      </c>
      <c r="B121" s="9">
        <v>1.2104500000000098</v>
      </c>
      <c r="C121">
        <v>145.30000000000427</v>
      </c>
      <c r="F121" s="9">
        <v>1.3145100000000083</v>
      </c>
      <c r="G121">
        <v>123.87999999999832</v>
      </c>
      <c r="H121" s="9">
        <v>1.2583999999999431</v>
      </c>
      <c r="J121" s="9">
        <v>1.2269999999999932</v>
      </c>
      <c r="K121" s="9">
        <v>0.98250000000002002</v>
      </c>
      <c r="L121" s="9">
        <v>1.2075000000000005</v>
      </c>
      <c r="M121" s="9">
        <v>1.1879999999999393</v>
      </c>
      <c r="N121" s="9">
        <v>3.8889999999998377</v>
      </c>
      <c r="P121">
        <v>119.25000000000017</v>
      </c>
      <c r="Q121">
        <v>105.19999999999993</v>
      </c>
    </row>
    <row r="122" spans="1:17" x14ac:dyDescent="0.25">
      <c r="A122" s="7">
        <v>46252</v>
      </c>
      <c r="B122" s="9">
        <v>1.2035999999999898</v>
      </c>
      <c r="C122">
        <v>144.65000000000356</v>
      </c>
      <c r="F122" s="9">
        <v>1.3024999999999687</v>
      </c>
      <c r="G122">
        <v>122.50999999999712</v>
      </c>
      <c r="H122" s="9">
        <v>1.2544999999999822</v>
      </c>
      <c r="J122" s="9">
        <v>1.2239999999999871</v>
      </c>
      <c r="K122" s="9">
        <v>0.97850000000000381</v>
      </c>
      <c r="L122" s="9">
        <v>1.2069999999999776</v>
      </c>
      <c r="M122" s="9">
        <v>1.1754999999996658</v>
      </c>
      <c r="N122" s="9">
        <v>3.8499999999975199</v>
      </c>
      <c r="P122">
        <v>118.04999999999799</v>
      </c>
      <c r="Q122">
        <v>105.00000000000014</v>
      </c>
    </row>
    <row r="123" spans="1:17" x14ac:dyDescent="0.25">
      <c r="A123" s="7">
        <v>46253</v>
      </c>
      <c r="B123" s="9">
        <v>1.2025000000000057</v>
      </c>
      <c r="C123">
        <v>144.2000000000032</v>
      </c>
      <c r="F123" s="9">
        <v>1.2967000000000104</v>
      </c>
      <c r="G123">
        <v>122.49999999999768</v>
      </c>
      <c r="H123" s="9">
        <v>1.2520000000000104</v>
      </c>
      <c r="J123" s="9">
        <v>1.2200000000000066</v>
      </c>
      <c r="K123" s="9">
        <v>0.97399999999999043</v>
      </c>
      <c r="L123" s="9">
        <v>1.1999999999999487</v>
      </c>
      <c r="M123" s="9">
        <v>1.1799999999998325</v>
      </c>
      <c r="N123" s="9">
        <v>3.8404999999960356</v>
      </c>
      <c r="P123">
        <v>118.64999999999756</v>
      </c>
      <c r="Q123">
        <v>104.8999999999951</v>
      </c>
    </row>
    <row r="124" spans="1:17" x14ac:dyDescent="0.25">
      <c r="A124" s="7">
        <v>46254</v>
      </c>
      <c r="B124" s="9">
        <v>1.2097999999999922</v>
      </c>
      <c r="C124">
        <v>145.10000000000193</v>
      </c>
      <c r="F124" s="9">
        <v>1.3154000000000408</v>
      </c>
      <c r="G124">
        <v>124.09999999999457</v>
      </c>
      <c r="H124" s="9">
        <v>1.2580000000000051</v>
      </c>
      <c r="J124" s="9">
        <v>1.2234999999999907</v>
      </c>
      <c r="K124" s="9">
        <v>0.98149999999999382</v>
      </c>
      <c r="L124" s="9">
        <v>1.2049999999999526</v>
      </c>
      <c r="M124" s="9">
        <v>1.1839999999999185</v>
      </c>
      <c r="N124" s="9">
        <v>3.8509999999971267</v>
      </c>
      <c r="P124">
        <v>119.44999999999813</v>
      </c>
      <c r="Q124">
        <v>105.19999999999841</v>
      </c>
    </row>
    <row r="125" spans="1:17" x14ac:dyDescent="0.25">
      <c r="A125" s="7">
        <v>46255</v>
      </c>
      <c r="B125" s="9">
        <v>1.21434999999999</v>
      </c>
      <c r="C125">
        <v>145.70000000000258</v>
      </c>
      <c r="F125" s="9">
        <v>1.3193999999999864</v>
      </c>
      <c r="G125">
        <v>124.34999999999815</v>
      </c>
      <c r="H125" s="9">
        <v>1.2599999999999409</v>
      </c>
      <c r="J125" s="9">
        <v>1.2264999999999853</v>
      </c>
      <c r="K125" s="9">
        <v>0.98299999999999865</v>
      </c>
      <c r="L125" s="9">
        <v>1.2094999999999694</v>
      </c>
      <c r="M125" s="9">
        <v>1.1900000000000273</v>
      </c>
      <c r="N125" s="9">
        <v>3.8624999999979792</v>
      </c>
      <c r="P125">
        <v>120.0000000000025</v>
      </c>
      <c r="Q125">
        <v>105.44999999999209</v>
      </c>
    </row>
    <row r="126" spans="1:17" x14ac:dyDescent="0.25">
      <c r="A126" s="7">
        <v>46258</v>
      </c>
      <c r="B126" s="9">
        <v>1.2152000000000056</v>
      </c>
      <c r="C126">
        <v>146.07999999999939</v>
      </c>
      <c r="F126" s="9">
        <v>1.3234000000000601</v>
      </c>
      <c r="G126">
        <v>124.62999999999937</v>
      </c>
      <c r="H126" s="9">
        <v>1.259999999999976</v>
      </c>
      <c r="J126" s="9">
        <v>1.2280000000000046</v>
      </c>
      <c r="K126" s="9">
        <v>0.98449999999997362</v>
      </c>
      <c r="L126" s="9">
        <v>1.2109999999999512</v>
      </c>
      <c r="M126" s="9">
        <v>1.1899999999999828</v>
      </c>
      <c r="N126" s="9">
        <v>3.8749999999983853</v>
      </c>
      <c r="P126">
        <v>120.24999999999876</v>
      </c>
      <c r="Q126">
        <v>105.24999999999255</v>
      </c>
    </row>
    <row r="127" spans="1:17" x14ac:dyDescent="0.25">
      <c r="A127" s="7">
        <v>46259</v>
      </c>
      <c r="B127" s="9">
        <v>1.2143999999999908</v>
      </c>
      <c r="C127">
        <v>145.65199999999894</v>
      </c>
      <c r="F127" s="9">
        <v>1.3219000000000027</v>
      </c>
      <c r="G127">
        <v>124.54999999999868</v>
      </c>
      <c r="H127" s="9">
        <v>1.2533999999999761</v>
      </c>
      <c r="J127" s="9">
        <v>1.2279999999999969</v>
      </c>
      <c r="K127" s="9">
        <v>0.98380000000002654</v>
      </c>
      <c r="L127" s="9">
        <v>1.2174999999999614</v>
      </c>
      <c r="M127" s="9">
        <v>1.1964999999999462</v>
      </c>
      <c r="N127" s="9">
        <v>3.8814999999987094</v>
      </c>
      <c r="P127">
        <v>120.14999999999768</v>
      </c>
      <c r="Q127">
        <v>105.29999999999787</v>
      </c>
    </row>
    <row r="128" spans="1:17" x14ac:dyDescent="0.25">
      <c r="A128" s="7">
        <v>46260</v>
      </c>
      <c r="B128" s="9">
        <v>1.21475000000001</v>
      </c>
      <c r="C128">
        <v>145.45000000000346</v>
      </c>
      <c r="F128" s="9">
        <v>1.3194500000000289</v>
      </c>
      <c r="G128">
        <v>124.15000000000636</v>
      </c>
      <c r="H128" s="9">
        <v>1.2534500000000188</v>
      </c>
      <c r="J128" s="9">
        <v>1.2275000000000063</v>
      </c>
      <c r="K128" s="9">
        <v>0.98299999999999654</v>
      </c>
      <c r="L128" s="9">
        <v>1.2145000000000008</v>
      </c>
      <c r="M128" s="9">
        <v>1.1809999999997101</v>
      </c>
      <c r="N128" s="9">
        <v>3.8804999999984653</v>
      </c>
      <c r="P128">
        <v>120.35000000000178</v>
      </c>
      <c r="Q128">
        <v>105.39999999999398</v>
      </c>
    </row>
    <row r="129" spans="1:17" x14ac:dyDescent="0.25">
      <c r="A129" s="7">
        <v>46261</v>
      </c>
      <c r="B129" s="9">
        <v>1.2157000000000182</v>
      </c>
      <c r="C129">
        <v>145.74999999999631</v>
      </c>
      <c r="F129" s="9">
        <v>1.3192999999999682</v>
      </c>
      <c r="G129">
        <v>123.99000000000112</v>
      </c>
      <c r="H129" s="9">
        <v>1.254199999999956</v>
      </c>
      <c r="J129" s="9">
        <v>1.2311999999999819</v>
      </c>
      <c r="K129" s="9">
        <v>0.98299999999998022</v>
      </c>
      <c r="L129" s="9">
        <v>1.2189999999999714</v>
      </c>
      <c r="M129" s="9">
        <v>1.1819999999997413</v>
      </c>
      <c r="N129" s="9">
        <v>3.8879999999988515</v>
      </c>
      <c r="P129">
        <v>120.59999999999744</v>
      </c>
      <c r="Q129">
        <v>105.44999999999767</v>
      </c>
    </row>
    <row r="130" spans="1:17" x14ac:dyDescent="0.25">
      <c r="A130" s="7">
        <v>46262</v>
      </c>
      <c r="B130" s="9">
        <v>1.2187999999995287</v>
      </c>
      <c r="C130">
        <v>146.45000000000482</v>
      </c>
      <c r="F130" s="9">
        <v>1.3258999999999705</v>
      </c>
      <c r="G130">
        <v>124.45000000000319</v>
      </c>
      <c r="H130" s="9">
        <v>1.2609999999999904</v>
      </c>
      <c r="J130" s="9">
        <v>1.2334999999999865</v>
      </c>
      <c r="K130" s="9">
        <v>0.98550000000001736</v>
      </c>
      <c r="L130" s="9">
        <v>1.2165000000000041</v>
      </c>
      <c r="M130" s="9">
        <v>1.1899999999998689</v>
      </c>
      <c r="N130" s="9">
        <v>3.8949999999989857</v>
      </c>
      <c r="P130">
        <v>120.80000000000022</v>
      </c>
      <c r="Q130">
        <v>105.79999999999833</v>
      </c>
    </row>
    <row r="131" spans="1:17" x14ac:dyDescent="0.25">
      <c r="A131" s="4">
        <v>46265</v>
      </c>
      <c r="B131" s="9">
        <v>1.2211999999996819</v>
      </c>
      <c r="C131">
        <v>146.94000000000119</v>
      </c>
      <c r="D131" s="9"/>
      <c r="F131" s="9">
        <v>1.3277000000000525</v>
      </c>
      <c r="G131">
        <v>124.85000000000053</v>
      </c>
      <c r="H131" s="9">
        <v>1.2639999999999953</v>
      </c>
      <c r="J131" s="9">
        <v>1.2349999999999923</v>
      </c>
      <c r="K131" s="9">
        <v>0.9874999999999805</v>
      </c>
      <c r="L131" s="9">
        <v>1.2210000000000008</v>
      </c>
      <c r="M131" s="9">
        <v>1.2035000000000065</v>
      </c>
      <c r="N131" s="9">
        <v>3.8964999999983876</v>
      </c>
      <c r="P131">
        <v>121.15</v>
      </c>
      <c r="Q131">
        <v>106.84999999999238</v>
      </c>
    </row>
    <row r="132" spans="1:17" x14ac:dyDescent="0.25">
      <c r="A132" s="4">
        <v>46266</v>
      </c>
      <c r="B132" s="11">
        <v>1.2227816600000001</v>
      </c>
      <c r="C132" s="11">
        <v>1.47186796</v>
      </c>
      <c r="D132" s="11">
        <v>1.00906037</v>
      </c>
      <c r="F132" s="11">
        <v>1.3298810999999999</v>
      </c>
      <c r="G132" s="11">
        <v>1.2513122999999999</v>
      </c>
      <c r="H132" s="11">
        <v>1.2646346799999999</v>
      </c>
      <c r="J132" s="11">
        <v>1.2377929000000001</v>
      </c>
      <c r="K132" s="12">
        <v>0.98939814999999998</v>
      </c>
      <c r="L132" s="11">
        <v>1.2169272499999999</v>
      </c>
      <c r="M132" s="11">
        <v>121.6499999999932</v>
      </c>
      <c r="N132" s="11">
        <v>3.9192279999999999</v>
      </c>
      <c r="P132" s="12">
        <v>1.2130007899999999</v>
      </c>
      <c r="Q132" s="11">
        <v>1.06900032</v>
      </c>
    </row>
    <row r="133" spans="1:17" x14ac:dyDescent="0.25">
      <c r="A133" s="4">
        <v>46267</v>
      </c>
      <c r="B133" s="11">
        <v>1.2238402399999999</v>
      </c>
      <c r="C133" s="11">
        <v>1.47201179</v>
      </c>
      <c r="D133" s="11">
        <v>1.0100603500000001</v>
      </c>
      <c r="F133" s="11">
        <v>1.33226589</v>
      </c>
      <c r="G133" s="11">
        <v>1.2529571399999999</v>
      </c>
      <c r="H133" s="11">
        <v>1.26554419</v>
      </c>
      <c r="J133" s="11">
        <v>1.2384295299999999</v>
      </c>
      <c r="K133" s="12">
        <v>0.99174496000000001</v>
      </c>
      <c r="L133" s="11">
        <v>1.2199578900000001</v>
      </c>
      <c r="M133" s="12">
        <v>1.2075260000000001</v>
      </c>
      <c r="N133" s="11">
        <v>3.9397009000000001</v>
      </c>
      <c r="P133" s="12">
        <v>1.2147051099999999</v>
      </c>
      <c r="Q133" s="11">
        <v>1.0690074300000001</v>
      </c>
    </row>
    <row r="134" spans="1:17" x14ac:dyDescent="0.25">
      <c r="A134" s="4">
        <v>46268</v>
      </c>
      <c r="B134" s="11">
        <v>1.2249302799999999</v>
      </c>
      <c r="C134" s="11">
        <v>1.47362075</v>
      </c>
      <c r="D134" s="11">
        <v>1.01084299</v>
      </c>
      <c r="F134" s="11">
        <v>1.3337051600000001</v>
      </c>
      <c r="G134" s="11">
        <v>1.25421118</v>
      </c>
      <c r="H134" s="11">
        <v>1.2674897700000001</v>
      </c>
      <c r="J134" s="11">
        <v>1.2404261400000001</v>
      </c>
      <c r="K134" s="12">
        <v>0.99424604999999999</v>
      </c>
      <c r="L134" s="11">
        <v>1.22347926</v>
      </c>
      <c r="M134" s="12">
        <v>1.20153475</v>
      </c>
      <c r="N134" s="11">
        <v>3.95347932</v>
      </c>
      <c r="P134" s="12">
        <v>1.2157256599999999</v>
      </c>
      <c r="Q134" s="11">
        <v>1.0687348400000001</v>
      </c>
    </row>
    <row r="135" spans="1:17" x14ac:dyDescent="0.25">
      <c r="A135" s="4">
        <v>46269</v>
      </c>
      <c r="B135" s="11">
        <v>1.2272383499999999</v>
      </c>
      <c r="C135" s="11">
        <v>1.4765107900000001</v>
      </c>
      <c r="D135" s="11">
        <v>1.0127881299999999</v>
      </c>
      <c r="F135" s="11">
        <v>1.33790498</v>
      </c>
      <c r="G135" s="11">
        <v>1.2585695299999999</v>
      </c>
      <c r="H135" s="11">
        <v>1.2687158999999999</v>
      </c>
      <c r="J135" s="11">
        <v>1.24342201</v>
      </c>
      <c r="K135" s="12">
        <v>0.99898215999999995</v>
      </c>
      <c r="L135" s="11">
        <v>1.229144</v>
      </c>
      <c r="M135" s="12">
        <v>1.2075780599999999</v>
      </c>
      <c r="N135" s="11">
        <v>3.9560157</v>
      </c>
      <c r="P135" s="12">
        <v>1.2178138199999999</v>
      </c>
      <c r="Q135" s="11">
        <v>1.0742336400000001</v>
      </c>
    </row>
    <row r="136" spans="1:17" x14ac:dyDescent="0.25">
      <c r="A136" s="4">
        <v>46272</v>
      </c>
      <c r="B136" s="11">
        <v>1.2289346999999999</v>
      </c>
      <c r="C136" s="11">
        <v>1.46987329</v>
      </c>
      <c r="D136" s="11">
        <v>1.0133567299999999</v>
      </c>
      <c r="F136" s="11">
        <v>1.33824331</v>
      </c>
      <c r="G136" s="11">
        <v>1.2595068899999999</v>
      </c>
      <c r="H136" s="11">
        <v>1.26933221</v>
      </c>
      <c r="J136" s="11">
        <v>1.2448657999999999</v>
      </c>
      <c r="K136" s="12">
        <v>0.99773075</v>
      </c>
      <c r="L136" s="11">
        <v>1.2303535999999999</v>
      </c>
      <c r="M136" s="12">
        <v>1.2105391999999999</v>
      </c>
      <c r="N136" s="11">
        <v>3.9592439100000001</v>
      </c>
      <c r="P136" s="12">
        <v>1.2177763699999999</v>
      </c>
      <c r="Q136" s="11">
        <v>1.0713623999999999</v>
      </c>
    </row>
    <row r="137" spans="1:17" x14ac:dyDescent="0.25">
      <c r="A137" s="4">
        <v>46273</v>
      </c>
      <c r="B137" s="11">
        <v>1.22905825</v>
      </c>
      <c r="C137" s="11">
        <v>1.4748975499999999</v>
      </c>
      <c r="D137" s="11">
        <v>1.01323655</v>
      </c>
      <c r="F137" s="11">
        <v>1.3382574899999999</v>
      </c>
      <c r="G137" s="11">
        <v>1.2577613400000001</v>
      </c>
      <c r="H137" s="11">
        <v>1.27103747</v>
      </c>
      <c r="J137" s="11">
        <v>1.2462282225646</v>
      </c>
      <c r="K137" s="12">
        <v>0.99844274</v>
      </c>
      <c r="L137" s="11">
        <v>1.23</v>
      </c>
      <c r="M137" s="12">
        <v>1.2125095699999999</v>
      </c>
      <c r="N137" s="11">
        <v>3.9737443400000001</v>
      </c>
      <c r="P137" s="12">
        <v>1.2177810499999999</v>
      </c>
      <c r="Q137" s="11">
        <v>1.0716682</v>
      </c>
    </row>
    <row r="138" spans="1:17" x14ac:dyDescent="0.25">
      <c r="A138" s="4">
        <v>46274</v>
      </c>
      <c r="B138" s="11">
        <v>1.2284157899999999</v>
      </c>
      <c r="C138" s="11">
        <v>1.4749056899999999</v>
      </c>
      <c r="D138" s="11">
        <v>1.0115057599999999</v>
      </c>
      <c r="F138" s="11">
        <v>1.3364771</v>
      </c>
      <c r="G138" s="11">
        <v>1.25681132</v>
      </c>
      <c r="H138" s="11">
        <v>1.2679330499999999</v>
      </c>
      <c r="J138" s="11">
        <v>1.2453557799999999</v>
      </c>
      <c r="K138" s="12">
        <v>0.99758399999999992</v>
      </c>
      <c r="L138" s="11">
        <v>1.2315876800000001</v>
      </c>
      <c r="M138" s="12">
        <v>1.2110000000000001</v>
      </c>
      <c r="N138" s="11">
        <v>3.9671134600000002</v>
      </c>
      <c r="P138" s="12">
        <v>1.21875841</v>
      </c>
      <c r="Q138" s="11">
        <v>1.0749949999999999</v>
      </c>
    </row>
    <row r="139" spans="1:17" x14ac:dyDescent="0.25">
      <c r="A139" s="4">
        <v>46275</v>
      </c>
      <c r="B139" s="11">
        <v>1.2302787399999999</v>
      </c>
      <c r="C139" s="11">
        <v>1.47846571</v>
      </c>
      <c r="D139" s="11">
        <v>1.0156021799999999</v>
      </c>
      <c r="F139" s="11">
        <v>1.3407502899999999</v>
      </c>
      <c r="G139" s="11">
        <v>1.2607528299999999</v>
      </c>
      <c r="H139" s="11">
        <v>1.2725215599999999</v>
      </c>
      <c r="J139" s="11">
        <v>1.2462244</v>
      </c>
      <c r="K139" s="12">
        <v>0.99770473999999998</v>
      </c>
      <c r="L139" s="11">
        <v>1.2250563999999999</v>
      </c>
      <c r="M139" s="12">
        <v>1.2090000000000001</v>
      </c>
      <c r="N139" s="11">
        <v>3.9624615599999999</v>
      </c>
      <c r="P139" s="12">
        <v>1.2171409900000001</v>
      </c>
      <c r="Q139" s="11">
        <v>1.07449996</v>
      </c>
    </row>
    <row r="140" spans="1:17" x14ac:dyDescent="0.25">
      <c r="A140" s="4">
        <v>46276</v>
      </c>
      <c r="B140" s="11">
        <v>1.23192268</v>
      </c>
      <c r="C140" s="11">
        <v>1.48303425</v>
      </c>
      <c r="D140" s="11">
        <v>1.0171820300000001</v>
      </c>
      <c r="F140" s="11">
        <v>1.3419946</v>
      </c>
      <c r="G140" s="11">
        <v>1.2616848199999999</v>
      </c>
      <c r="H140" s="11">
        <v>1.2753461699999999</v>
      </c>
      <c r="J140" s="11">
        <v>1.24903546</v>
      </c>
      <c r="K140" s="12">
        <v>1.00047303</v>
      </c>
      <c r="L140" s="11">
        <v>1.23002079</v>
      </c>
      <c r="M140" s="12">
        <v>1.2105345000000001</v>
      </c>
      <c r="N140" s="11">
        <v>3.9727677400000001</v>
      </c>
      <c r="P140" s="12">
        <v>1.22005713</v>
      </c>
      <c r="Q140" s="11">
        <v>1.0730103600000001</v>
      </c>
    </row>
    <row r="141" spans="1:17" x14ac:dyDescent="0.25">
      <c r="A141" s="4">
        <v>46279</v>
      </c>
      <c r="B141" s="11">
        <v>1.2354439699999999</v>
      </c>
      <c r="C141" s="11">
        <v>1.48588655</v>
      </c>
      <c r="D141" s="11">
        <v>1.0194176500000001</v>
      </c>
      <c r="F141" s="11">
        <v>1.34450995</v>
      </c>
      <c r="G141" s="11">
        <v>1.2666343</v>
      </c>
      <c r="H141" s="11">
        <v>1.27760388</v>
      </c>
      <c r="J141" s="11">
        <v>1.25289889</v>
      </c>
      <c r="K141" s="12">
        <v>1.0060696</v>
      </c>
      <c r="L141" s="11">
        <v>1.24151338</v>
      </c>
      <c r="M141" s="12">
        <v>1.2153985300000001</v>
      </c>
      <c r="N141" s="11">
        <v>3.9954635999999999</v>
      </c>
      <c r="P141" s="12">
        <v>1.22405823</v>
      </c>
      <c r="Q141" s="11">
        <v>1.0804226100000001</v>
      </c>
    </row>
    <row r="142" spans="1:17" x14ac:dyDescent="0.25">
      <c r="A142" s="4">
        <v>46280</v>
      </c>
      <c r="B142" s="11">
        <v>1.2365159999999999</v>
      </c>
      <c r="C142" s="11">
        <v>1.48790837</v>
      </c>
      <c r="D142" s="11">
        <v>1.02044128</v>
      </c>
      <c r="F142" s="11">
        <v>1.34564097</v>
      </c>
      <c r="G142" s="11">
        <v>1.26531796</v>
      </c>
      <c r="H142" s="11">
        <v>1.2780193399999999</v>
      </c>
      <c r="J142" s="11">
        <v>1.2540483200000001</v>
      </c>
      <c r="K142" s="12">
        <v>1.0074688599999999</v>
      </c>
      <c r="L142" s="11">
        <v>1.24550297</v>
      </c>
      <c r="M142" s="12">
        <v>1.22277905</v>
      </c>
      <c r="N142" s="11">
        <v>4.0055003100000004</v>
      </c>
      <c r="P142" s="12">
        <v>1.2258720400000001</v>
      </c>
      <c r="Q142" s="11">
        <v>1.0821337499999999</v>
      </c>
    </row>
    <row r="143" spans="1:17" x14ac:dyDescent="0.25">
      <c r="A143" s="4">
        <v>46281</v>
      </c>
      <c r="B143" s="11">
        <v>1.2379524099999999</v>
      </c>
      <c r="C143" s="11">
        <v>1.4886435099999999</v>
      </c>
      <c r="D143" s="11">
        <v>1.02140539</v>
      </c>
      <c r="F143" s="11">
        <v>1.3460999</v>
      </c>
      <c r="G143" s="11">
        <v>1.2667624900000001</v>
      </c>
      <c r="H143" s="11">
        <v>1.2794401099999999</v>
      </c>
      <c r="J143" s="11">
        <v>1.25687583</v>
      </c>
      <c r="K143" s="12">
        <v>1.0089119499999999</v>
      </c>
      <c r="L143" s="11">
        <v>1.2507881199999999</v>
      </c>
      <c r="M143" s="12">
        <v>1.22891895</v>
      </c>
      <c r="N143" s="11">
        <v>4.0296776000000003</v>
      </c>
      <c r="P143" s="12">
        <v>1.22719931</v>
      </c>
      <c r="Q143" s="11">
        <v>1.08499287</v>
      </c>
    </row>
    <row r="144" spans="1:17" x14ac:dyDescent="0.25">
      <c r="A144" s="4">
        <v>46282</v>
      </c>
      <c r="B144" s="11">
        <v>1.2397538800000001</v>
      </c>
      <c r="C144" s="11">
        <v>1.49184129</v>
      </c>
      <c r="D144" s="11">
        <v>1.0235362400000001</v>
      </c>
      <c r="F144" s="11">
        <v>1.3498274699999999</v>
      </c>
      <c r="G144" s="11">
        <v>1.26914003</v>
      </c>
      <c r="H144" s="11">
        <v>1.28144792</v>
      </c>
      <c r="J144" s="11">
        <v>1.25794154</v>
      </c>
      <c r="K144" s="12">
        <v>1.01114254</v>
      </c>
      <c r="L144" s="11">
        <v>1.2501676100000001</v>
      </c>
      <c r="M144" s="12">
        <v>1.23183869</v>
      </c>
      <c r="N144" s="11">
        <v>4.04088227</v>
      </c>
      <c r="P144" s="12">
        <v>1.22855866</v>
      </c>
      <c r="Q144" s="11">
        <v>1.08743849</v>
      </c>
    </row>
    <row r="145" spans="1:17" x14ac:dyDescent="0.25">
      <c r="A145" s="4">
        <v>46283</v>
      </c>
      <c r="B145" s="11">
        <v>1.2423725800000001</v>
      </c>
      <c r="C145" s="11">
        <v>1.49517514</v>
      </c>
      <c r="D145" s="11">
        <v>1.0260089699999999</v>
      </c>
      <c r="F145" s="11">
        <v>1.35145396</v>
      </c>
      <c r="G145" s="11">
        <v>1.2733092399999999</v>
      </c>
      <c r="H145" s="11">
        <v>1.28285122</v>
      </c>
      <c r="J145" s="11">
        <v>1.2604560199999999</v>
      </c>
      <c r="K145" s="12">
        <v>1.0129376000000001</v>
      </c>
      <c r="L145" s="11">
        <v>1.2505011100000001</v>
      </c>
      <c r="M145" s="12">
        <v>1.2382925</v>
      </c>
      <c r="N145" s="11">
        <v>4.06846934</v>
      </c>
      <c r="P145" s="12">
        <v>1.23204487</v>
      </c>
      <c r="Q145" s="11">
        <v>1.09631334</v>
      </c>
    </row>
    <row r="146" spans="1:17" x14ac:dyDescent="0.25">
      <c r="A146" s="4">
        <v>46286</v>
      </c>
      <c r="B146" s="11">
        <v>1.24243803</v>
      </c>
      <c r="C146" s="11">
        <v>1.49389584</v>
      </c>
      <c r="D146" s="11">
        <v>1.0249857200000001</v>
      </c>
      <c r="F146" s="11">
        <v>1.3505734700000001</v>
      </c>
      <c r="G146" s="11">
        <v>1.2723530999999999</v>
      </c>
      <c r="H146" s="11">
        <v>1.28300897</v>
      </c>
      <c r="J146" s="11">
        <v>1.26070404</v>
      </c>
      <c r="K146" s="12">
        <v>1.0114465399999999</v>
      </c>
      <c r="L146" s="11">
        <v>1.2535023700000001</v>
      </c>
      <c r="M146" s="12">
        <v>1.2340932099999999</v>
      </c>
      <c r="N146" s="11">
        <v>4.0488869200000002</v>
      </c>
      <c r="P146" s="12">
        <v>1.2316546799999999</v>
      </c>
      <c r="Q146" s="11">
        <v>1.0946988600000001</v>
      </c>
    </row>
    <row r="147" spans="1:17" x14ac:dyDescent="0.25">
      <c r="A147" s="4">
        <v>46287</v>
      </c>
      <c r="B147" s="11">
        <v>1.2424581299999999</v>
      </c>
      <c r="C147" s="11">
        <v>1.4940571</v>
      </c>
      <c r="D147" s="11">
        <v>1.0253491100000001</v>
      </c>
      <c r="F147" s="11">
        <v>1.3507939900000001</v>
      </c>
      <c r="G147" s="11">
        <v>1.2718339400000001</v>
      </c>
      <c r="H147" s="11">
        <v>1.28149376</v>
      </c>
      <c r="J147" s="11">
        <v>1.2606395699999999</v>
      </c>
      <c r="K147" s="12">
        <v>1.01226349</v>
      </c>
      <c r="L147" s="11">
        <v>1.25192474</v>
      </c>
      <c r="M147" s="12">
        <v>1.2315646899999999</v>
      </c>
      <c r="N147" s="11">
        <v>4.0369820399999998</v>
      </c>
      <c r="P147" s="12">
        <v>1.2316048500000001</v>
      </c>
      <c r="Q147" s="11">
        <v>1.08999808</v>
      </c>
    </row>
    <row r="148" spans="1:17" x14ac:dyDescent="0.25">
      <c r="A148" s="4">
        <v>46288</v>
      </c>
      <c r="B148" s="11">
        <v>1.2429414299999999</v>
      </c>
      <c r="C148" s="11">
        <v>1.4939936199999999</v>
      </c>
      <c r="D148" s="11">
        <v>1.0240504800000001</v>
      </c>
      <c r="F148" s="11">
        <v>1.3492921600000001</v>
      </c>
      <c r="G148" s="11">
        <v>1.26972865</v>
      </c>
      <c r="H148" s="11">
        <v>1.2815449699999999</v>
      </c>
      <c r="J148" s="11">
        <v>1.26129709</v>
      </c>
      <c r="K148" s="12">
        <v>1.0113740099999999</v>
      </c>
      <c r="L148" s="11">
        <v>1.2503633599999999</v>
      </c>
      <c r="M148" s="12">
        <v>1.2301632499999999</v>
      </c>
      <c r="N148" s="11">
        <v>4.03251793</v>
      </c>
      <c r="P148" s="12">
        <v>1.2308570400000001</v>
      </c>
      <c r="Q148" s="11">
        <v>1.09026702</v>
      </c>
    </row>
    <row r="149" spans="1:17" x14ac:dyDescent="0.25">
      <c r="A149" s="4">
        <v>46289</v>
      </c>
      <c r="B149" s="11">
        <v>1.2441817799999999</v>
      </c>
      <c r="C149" s="11">
        <v>1.49460317</v>
      </c>
      <c r="D149" s="11">
        <v>1.02456668</v>
      </c>
      <c r="F149" s="11">
        <v>1.3479110400000001</v>
      </c>
      <c r="G149" s="11">
        <v>1.2679350199999999</v>
      </c>
      <c r="H149" s="11">
        <v>1.2796838800000001</v>
      </c>
      <c r="J149" s="11">
        <v>1.2624856600000001</v>
      </c>
      <c r="K149" s="12">
        <v>1.01355576</v>
      </c>
      <c r="L149" s="11">
        <v>1.2430008400000001</v>
      </c>
      <c r="M149" s="12">
        <v>1.2290459600000001</v>
      </c>
      <c r="N149" s="11">
        <v>4.0260275500000002</v>
      </c>
      <c r="P149" s="12">
        <v>1.23299767</v>
      </c>
      <c r="Q149" s="11">
        <v>1.0917816499999999</v>
      </c>
    </row>
    <row r="150" spans="1:17" x14ac:dyDescent="0.25">
      <c r="A150" s="4">
        <v>46290</v>
      </c>
      <c r="B150" s="11">
        <v>1.24693685</v>
      </c>
      <c r="C150" s="11">
        <v>1.4954674699999999</v>
      </c>
      <c r="D150" s="11">
        <v>1.0266372500000001</v>
      </c>
      <c r="F150" s="11">
        <v>1.3493975899999999</v>
      </c>
      <c r="G150" s="11">
        <v>1.26970279</v>
      </c>
      <c r="H150" s="11">
        <v>1.2844502499999999</v>
      </c>
      <c r="J150" s="11">
        <v>1.2646537799999999</v>
      </c>
      <c r="K150" s="12">
        <v>1.0173794300000001</v>
      </c>
      <c r="L150" s="11">
        <v>1.2490924465058999</v>
      </c>
      <c r="M150" s="12">
        <v>1.22755076</v>
      </c>
      <c r="N150" s="11">
        <v>4.0183252899999999</v>
      </c>
      <c r="P150" s="12">
        <v>1.23756672</v>
      </c>
      <c r="Q150" s="11">
        <v>1.09202855</v>
      </c>
    </row>
    <row r="151" spans="1:17" x14ac:dyDescent="0.25">
      <c r="A151" s="4">
        <f>+WORKDAY(A150,1,Feriados!$A$2:$A$38)</f>
        <v>46293</v>
      </c>
      <c r="B151" s="11">
        <v>1.2469439899999999</v>
      </c>
      <c r="C151" s="11">
        <v>1.4964230700000001</v>
      </c>
      <c r="D151" s="11">
        <v>1.0268137500000001</v>
      </c>
      <c r="F151" s="11">
        <v>1.3470452900000001</v>
      </c>
      <c r="G151" s="11">
        <v>1.2672363799999999</v>
      </c>
      <c r="H151" s="11">
        <v>1.2805150000000001</v>
      </c>
      <c r="J151" s="11">
        <v>1.26614878</v>
      </c>
      <c r="K151" s="12">
        <v>1.01737356</v>
      </c>
      <c r="L151" s="11">
        <v>1.25957461</v>
      </c>
      <c r="M151" s="12">
        <v>1.23092727</v>
      </c>
      <c r="N151" s="11">
        <v>4.0270874499999998</v>
      </c>
      <c r="P151" s="12">
        <v>1.2389035100000001</v>
      </c>
      <c r="Q151" s="11">
        <v>1.0912433500000001</v>
      </c>
    </row>
    <row r="152" spans="1:17" x14ac:dyDescent="0.25">
      <c r="A152" s="4">
        <f>+WORKDAY(A151,1,Feriados!$A$2:$A$38)</f>
        <v>46294</v>
      </c>
      <c r="B152" s="11">
        <v>1.2482832399999999</v>
      </c>
      <c r="C152" s="11">
        <v>1.49537925</v>
      </c>
      <c r="D152" s="11">
        <v>1.02808225</v>
      </c>
      <c r="F152" s="11">
        <v>1.34858872</v>
      </c>
      <c r="G152" s="11">
        <v>1.2681650499999999</v>
      </c>
      <c r="H152" s="11">
        <v>1.2803557299999999</v>
      </c>
      <c r="J152" s="11">
        <v>1.2669357299999999</v>
      </c>
      <c r="K152" s="12">
        <v>1.01798637</v>
      </c>
      <c r="L152" s="11">
        <v>1.2490000000000001</v>
      </c>
      <c r="M152" s="12">
        <v>1.22842539</v>
      </c>
      <c r="N152" s="11">
        <v>4.0389832800000001</v>
      </c>
      <c r="P152" s="12">
        <v>1.2374037200000001</v>
      </c>
      <c r="Q152" s="11">
        <v>1.08950003</v>
      </c>
    </row>
    <row r="153" spans="1:17" x14ac:dyDescent="0.25">
      <c r="A153" s="4">
        <f>+WORKDAY(A152,1,Feriados!$A$2:$A$38)</f>
        <v>46295</v>
      </c>
      <c r="B153" s="11">
        <v>1.2495673300000001</v>
      </c>
      <c r="C153" s="11">
        <v>1.4983319500000001</v>
      </c>
      <c r="D153" s="11">
        <v>1.0294134500000001</v>
      </c>
      <c r="F153" s="11">
        <v>1.3505428799999999</v>
      </c>
      <c r="G153" s="11">
        <v>1.2717833300000001</v>
      </c>
      <c r="H153" s="11">
        <v>1.2849759700000001</v>
      </c>
      <c r="J153" s="11">
        <v>1.2695935</v>
      </c>
      <c r="K153" s="12">
        <v>1.0209493199999999</v>
      </c>
      <c r="L153" s="11">
        <v>1.2612042400000001</v>
      </c>
      <c r="M153" s="12">
        <v>1.2336243200000001</v>
      </c>
      <c r="N153" s="11">
        <v>4.0563561100000003</v>
      </c>
      <c r="P153" s="12">
        <v>1.2382487799999999</v>
      </c>
      <c r="Q153" s="11">
        <v>1.09140441</v>
      </c>
    </row>
    <row r="154" spans="1:17" x14ac:dyDescent="0.25">
      <c r="A154" s="4">
        <f>+WORKDAY(A153,1,Feriados!$A$2:$A$38)</f>
        <v>46296</v>
      </c>
      <c r="B154" s="11">
        <v>1.25193624</v>
      </c>
      <c r="C154" s="11">
        <v>1.5004969800000001</v>
      </c>
      <c r="D154" s="11">
        <v>1.03125109</v>
      </c>
      <c r="F154" s="11">
        <v>1.35353996</v>
      </c>
      <c r="G154" s="11">
        <v>1.2719944599999999</v>
      </c>
      <c r="H154" s="11">
        <v>1.28608604</v>
      </c>
      <c r="J154" s="11">
        <v>1.2704156900000001</v>
      </c>
      <c r="K154" s="12">
        <v>1.0234993400000001</v>
      </c>
      <c r="L154" s="11">
        <v>1.26743049</v>
      </c>
      <c r="M154" s="12">
        <v>1.2413334300000001</v>
      </c>
      <c r="N154" s="11">
        <v>4.0714517199999998</v>
      </c>
      <c r="P154" s="12">
        <v>1.2417132399999999</v>
      </c>
      <c r="Q154" s="11">
        <v>1.093718</v>
      </c>
    </row>
    <row r="155" spans="1:17" x14ac:dyDescent="0.25">
      <c r="A155" s="4">
        <f>+WORKDAY(A154,1,Feriados!$A$2:$A$38)</f>
        <v>46297</v>
      </c>
      <c r="B155" s="11">
        <v>1.2542973500000001</v>
      </c>
      <c r="C155" s="11">
        <v>1.50454106</v>
      </c>
      <c r="D155" s="11">
        <v>1.034098</v>
      </c>
      <c r="F155" s="11">
        <v>1.3561210500000001</v>
      </c>
      <c r="G155" s="11">
        <v>1.2774154</v>
      </c>
      <c r="H155" s="11">
        <v>1.2912119900000001</v>
      </c>
      <c r="J155" s="11">
        <v>1.27322231</v>
      </c>
      <c r="K155" s="12">
        <v>1.0262334500000001</v>
      </c>
      <c r="L155" s="11">
        <v>1.2653342400000001</v>
      </c>
      <c r="M155" s="12">
        <v>1.2449642299999999</v>
      </c>
      <c r="N155" s="11">
        <v>4.0712235899999998</v>
      </c>
      <c r="P155" s="12">
        <v>1.24830782</v>
      </c>
      <c r="Q155" s="11">
        <v>1.09451115</v>
      </c>
    </row>
    <row r="156" spans="1:17" x14ac:dyDescent="0.25">
      <c r="A156" s="4">
        <f>+WORKDAY(A155,1,Feriados!$A$2:$A$38)</f>
        <v>46300</v>
      </c>
      <c r="B156" s="11">
        <v>1.2550632399999999</v>
      </c>
      <c r="C156" s="11">
        <v>1.5063051999999999</v>
      </c>
      <c r="D156" s="11">
        <v>1.0356566199999999</v>
      </c>
      <c r="F156" s="11">
        <v>1.3539822399999999</v>
      </c>
      <c r="G156" s="11">
        <v>1.2804176300000001</v>
      </c>
      <c r="H156" s="11">
        <v>1.2890465900000001</v>
      </c>
      <c r="J156" s="11">
        <v>1.27487241</v>
      </c>
      <c r="K156" s="11">
        <v>1.0272334599999999</v>
      </c>
      <c r="L156" s="11">
        <v>1.2798166900000001</v>
      </c>
      <c r="M156" s="11">
        <v>1.24899917</v>
      </c>
      <c r="N156" s="11">
        <v>4.0846097800000001</v>
      </c>
      <c r="P156" s="12">
        <v>1.2505858299999999</v>
      </c>
      <c r="Q156" s="11">
        <v>1.0940564699999999</v>
      </c>
    </row>
    <row r="157" spans="1:17" x14ac:dyDescent="0.25">
      <c r="A157" s="4">
        <f>+WORKDAY(A156,1,Feriados!$A$2:$A$38)</f>
        <v>46301</v>
      </c>
      <c r="B157" s="11">
        <v>1.2552875400000001</v>
      </c>
      <c r="C157" s="11">
        <v>1.5070904899999999</v>
      </c>
      <c r="D157" s="11">
        <v>1.03645627</v>
      </c>
      <c r="F157" s="11">
        <v>1.3604319</v>
      </c>
      <c r="G157" s="11">
        <v>1.2822477234033001</v>
      </c>
      <c r="H157" s="11">
        <v>1.29508263</v>
      </c>
      <c r="J157" s="11">
        <v>1.2755211200000001</v>
      </c>
      <c r="K157" s="11">
        <v>1.0288155000000001</v>
      </c>
      <c r="L157" s="11">
        <v>1.2722120800000001</v>
      </c>
      <c r="M157" s="11">
        <v>1.2497534400000001</v>
      </c>
      <c r="N157" s="11">
        <v>4.0900729399999998</v>
      </c>
      <c r="P157" s="11">
        <v>1.2508325600000001</v>
      </c>
      <c r="Q157" s="11">
        <v>1.09775508</v>
      </c>
    </row>
    <row r="158" spans="1:17" x14ac:dyDescent="0.25">
      <c r="A158" s="4">
        <f>+WORKDAY(A157,1,Feriados!$A$2:$A$38)</f>
        <v>46302</v>
      </c>
      <c r="B158" s="11">
        <v>1.2563465</v>
      </c>
      <c r="C158" s="11">
        <v>1.5086614</v>
      </c>
      <c r="D158" s="11">
        <v>1.0368340300000001</v>
      </c>
      <c r="F158" s="11">
        <v>1.3638211099999999</v>
      </c>
      <c r="G158" s="11">
        <v>1.2838353899999999</v>
      </c>
      <c r="H158" s="11">
        <v>1.2972002300000001</v>
      </c>
      <c r="J158" s="11">
        <v>1.27552815</v>
      </c>
      <c r="K158" s="11">
        <v>1.0285748800000001</v>
      </c>
      <c r="L158" s="11">
        <v>1.2782489500000001</v>
      </c>
      <c r="M158" s="11">
        <v>1.2525073600000001</v>
      </c>
      <c r="N158" s="11">
        <v>4.0877081000000004</v>
      </c>
      <c r="P158" s="11">
        <v>1.24982745</v>
      </c>
      <c r="Q158" s="11">
        <v>1.10071407</v>
      </c>
    </row>
    <row r="159" spans="1:17" x14ac:dyDescent="0.25">
      <c r="A159" s="4">
        <f>+WORKDAY(A158,1,Feriados!$A$2:$A$38)</f>
        <v>46303</v>
      </c>
      <c r="B159" s="11">
        <v>1.2574978000000001</v>
      </c>
      <c r="C159" s="11">
        <v>1.5098224</v>
      </c>
      <c r="D159" s="11">
        <v>1.0378953</v>
      </c>
      <c r="F159" s="11">
        <v>1.3664060499999999</v>
      </c>
      <c r="G159" s="11">
        <v>1.284648</v>
      </c>
      <c r="H159" s="11">
        <v>1.30047062</v>
      </c>
      <c r="J159" s="11">
        <v>1.2763398500000001</v>
      </c>
      <c r="K159" s="11">
        <v>1.0286919000000001</v>
      </c>
      <c r="L159" s="11">
        <v>1.277136</v>
      </c>
      <c r="M159" s="11">
        <v>1.2515807800000001</v>
      </c>
      <c r="N159" s="11">
        <v>4.0897800000000002</v>
      </c>
      <c r="P159" s="11">
        <v>1.25065581</v>
      </c>
      <c r="Q159" s="11">
        <v>1.1008573500000001</v>
      </c>
    </row>
    <row r="160" spans="1:17" x14ac:dyDescent="0.25">
      <c r="A160" s="4">
        <f>+WORKDAY(A159,1,Feriados!$A$2:$A$38)</f>
        <v>46304</v>
      </c>
      <c r="B160" s="11">
        <v>1.26211111</v>
      </c>
      <c r="C160" s="11">
        <v>1.51388945</v>
      </c>
      <c r="D160" s="11">
        <v>1.0415968799999999</v>
      </c>
      <c r="F160" s="11">
        <v>1.36954767</v>
      </c>
      <c r="G160" s="11">
        <v>1.2905880999999999</v>
      </c>
      <c r="H160" s="11">
        <v>1.3063048799999999</v>
      </c>
      <c r="J160" s="11">
        <v>1.27997136</v>
      </c>
      <c r="K160" s="11">
        <v>1.0299231099999999</v>
      </c>
      <c r="L160" s="11">
        <v>1.27508665</v>
      </c>
      <c r="M160" s="11">
        <v>1.25329863</v>
      </c>
      <c r="N160" s="11">
        <v>4.0949929899999997</v>
      </c>
      <c r="P160" s="11">
        <v>1.2552227199999999</v>
      </c>
      <c r="Q160" s="11">
        <v>1.10295125</v>
      </c>
    </row>
    <row r="161" spans="1:17" x14ac:dyDescent="0.25">
      <c r="A161" s="4">
        <f>+WORKDAY(A160,1,Feriados!$A$2:$A$38)</f>
        <v>46308</v>
      </c>
      <c r="B161" s="11">
        <v>1.2606297799999999</v>
      </c>
      <c r="C161" s="11">
        <v>1.51469338</v>
      </c>
      <c r="D161" s="11">
        <v>1.0406137799999999</v>
      </c>
      <c r="F161" s="11">
        <v>1.3711843500000001</v>
      </c>
      <c r="G161" s="11">
        <v>1.2911038800000001</v>
      </c>
      <c r="H161" s="11">
        <v>1.3084733</v>
      </c>
      <c r="J161" s="11">
        <v>1.2802404700000001</v>
      </c>
      <c r="K161" s="11">
        <v>1.0300585799999999</v>
      </c>
      <c r="L161" s="11">
        <v>1.2767506399999999</v>
      </c>
      <c r="M161" s="11">
        <v>1.25503353</v>
      </c>
      <c r="N161" s="11">
        <v>4.1012386899999997</v>
      </c>
      <c r="P161" s="11">
        <v>1.25371196</v>
      </c>
      <c r="Q161" s="11">
        <v>1.1039651500000001</v>
      </c>
    </row>
    <row r="162" spans="1:17" x14ac:dyDescent="0.25">
      <c r="A162" s="4">
        <f>+WORKDAY(A161,1,Feriados!$A$2:$A$38)</f>
        <v>46309</v>
      </c>
      <c r="B162" s="11">
        <v>1.26006102</v>
      </c>
      <c r="C162" s="11">
        <v>1.51396376</v>
      </c>
      <c r="D162" s="11">
        <v>1.04013471</v>
      </c>
      <c r="F162" s="11">
        <v>1.37126331</v>
      </c>
      <c r="G162" s="11">
        <v>1.291304</v>
      </c>
      <c r="H162" s="11">
        <v>1.3090459999999999</v>
      </c>
      <c r="J162" s="11">
        <v>1.2795586299999999</v>
      </c>
      <c r="K162" s="11">
        <v>1.0310101599999999</v>
      </c>
      <c r="L162" s="11">
        <v>1.2759046999999999</v>
      </c>
      <c r="M162" s="11">
        <v>1.2571690799999999</v>
      </c>
      <c r="N162" s="11">
        <v>4.1108232600000001</v>
      </c>
      <c r="P162" s="11">
        <v>1.25551919</v>
      </c>
      <c r="Q162" s="11">
        <v>1.1058990500000001</v>
      </c>
    </row>
    <row r="163" spans="1:17" x14ac:dyDescent="0.25">
      <c r="A163" s="4">
        <f>+WORKDAY(A162,1,Feriados!$A$2:$A$38)</f>
        <v>46310</v>
      </c>
      <c r="B163" s="11">
        <v>1.2619768200000001</v>
      </c>
      <c r="C163" s="11">
        <v>1.51818404</v>
      </c>
      <c r="D163" s="11">
        <v>1.0380406799999999</v>
      </c>
      <c r="F163" s="11">
        <v>1.3748229700000001</v>
      </c>
      <c r="G163" s="11">
        <v>1.29516952</v>
      </c>
      <c r="H163" s="11">
        <v>1.3161225700000001</v>
      </c>
      <c r="J163" s="11">
        <v>1.2819699200000001</v>
      </c>
      <c r="K163" s="11">
        <v>1.0331343399999999</v>
      </c>
      <c r="L163" s="11">
        <v>1.27900002</v>
      </c>
      <c r="M163" s="11">
        <v>1.2612713499999999</v>
      </c>
      <c r="N163" s="11">
        <v>4.1311680300000004</v>
      </c>
      <c r="P163" s="11">
        <v>1.2569410700000001</v>
      </c>
      <c r="Q163" s="11">
        <v>1.11006571</v>
      </c>
    </row>
    <row r="164" spans="1:17" x14ac:dyDescent="0.25">
      <c r="A164" s="4">
        <f>+WORKDAY(A163,1,Feriados!$A$2:$A$38)</f>
        <v>46311</v>
      </c>
      <c r="B164" s="11"/>
      <c r="C164" s="11"/>
      <c r="D164" s="11"/>
      <c r="F164" s="11"/>
      <c r="G164" s="11"/>
      <c r="H164" s="11"/>
      <c r="J164" s="11"/>
      <c r="K164" s="11"/>
      <c r="L164" s="11"/>
      <c r="M164" s="11"/>
      <c r="N164" s="11"/>
      <c r="P164" s="11"/>
      <c r="Q164" s="11"/>
    </row>
    <row r="165" spans="1:17" x14ac:dyDescent="0.25">
      <c r="A165" s="4">
        <f>+WORKDAY(A164,1,Feriados!$A$2:$A$38)</f>
        <v>46314</v>
      </c>
      <c r="B165" s="11">
        <v>1.2658785699999999</v>
      </c>
      <c r="C165" s="11">
        <v>1.5235683499999999</v>
      </c>
      <c r="D165" s="11">
        <v>1.0468394599999999</v>
      </c>
      <c r="F165" s="11">
        <v>1.3791142999999999</v>
      </c>
      <c r="G165" s="11">
        <v>1.2980624199999999</v>
      </c>
      <c r="H165" s="11">
        <v>1.31927609</v>
      </c>
      <c r="J165" s="11">
        <v>1.28512731</v>
      </c>
      <c r="K165" s="11">
        <v>1.03625682</v>
      </c>
      <c r="L165" s="11">
        <v>1.28404717</v>
      </c>
      <c r="M165" s="11">
        <v>1.26702314</v>
      </c>
      <c r="N165" s="11">
        <v>4.1445826600000002</v>
      </c>
      <c r="P165" s="11">
        <v>1.26114211</v>
      </c>
      <c r="Q165" s="11">
        <v>1.1153652149836599</v>
      </c>
    </row>
    <row r="166" spans="1:17" x14ac:dyDescent="0.25">
      <c r="A166" s="4">
        <f>+WORKDAY(A165,1,Feriados!$A$2:$A$38)</f>
        <v>46315</v>
      </c>
      <c r="B166" s="11">
        <v>1.2667788499999999</v>
      </c>
      <c r="C166" s="11">
        <v>1.5249278500000001</v>
      </c>
      <c r="D166" s="11">
        <v>1.04730795</v>
      </c>
      <c r="F166" s="11">
        <v>1.38088601</v>
      </c>
      <c r="G166" s="11">
        <v>1.3009219000000001</v>
      </c>
      <c r="H166" s="11">
        <v>1.32152921</v>
      </c>
      <c r="J166" s="11">
        <v>1.2854595799999999</v>
      </c>
      <c r="K166" s="11">
        <v>1.03749885</v>
      </c>
      <c r="L166" s="11">
        <v>1.28724576</v>
      </c>
      <c r="M166" s="11">
        <v>1.2677409399999999</v>
      </c>
      <c r="N166" s="11">
        <v>4.1452876099999996</v>
      </c>
      <c r="P166" s="11">
        <v>1.2627306899999999</v>
      </c>
      <c r="Q166" s="11">
        <v>1.11652306</v>
      </c>
    </row>
    <row r="167" spans="1:17" x14ac:dyDescent="0.25">
      <c r="A167" s="4">
        <f>+WORKDAY(A166,1,Feriados!$A$2:$A$38)</f>
        <v>46316</v>
      </c>
      <c r="B167" s="11">
        <v>1.2678373000000001</v>
      </c>
      <c r="C167" s="11">
        <v>1.5252739099999999</v>
      </c>
      <c r="D167" s="11">
        <v>1.0483183599999999</v>
      </c>
      <c r="F167" s="11">
        <v>1.38344445</v>
      </c>
      <c r="G167" s="11">
        <v>1.3035093099999999</v>
      </c>
      <c r="H167" s="11">
        <v>1.31171438</v>
      </c>
      <c r="J167" s="11">
        <v>1.2865622699999999</v>
      </c>
      <c r="K167" s="11">
        <v>1.0379849699999999</v>
      </c>
      <c r="L167" s="11">
        <v>1.2895944800000001</v>
      </c>
      <c r="M167" s="11">
        <v>1.26960213</v>
      </c>
      <c r="N167" s="11">
        <v>4.15149597</v>
      </c>
      <c r="P167" s="11">
        <v>1.26323282</v>
      </c>
      <c r="Q167" s="11">
        <v>1.1193425800000001</v>
      </c>
    </row>
    <row r="168" spans="1:17" x14ac:dyDescent="0.25">
      <c r="A168" s="4">
        <f>+WORKDAY(A167,1,Feriados!$A$2:$A$38)</f>
        <v>46317</v>
      </c>
      <c r="B168" s="11">
        <v>1.2685053399999999</v>
      </c>
      <c r="C168" s="11">
        <v>1.52536549</v>
      </c>
      <c r="D168" s="11">
        <v>1.0484262600000001</v>
      </c>
      <c r="F168" s="11">
        <v>1.3831674300000001</v>
      </c>
      <c r="G168" s="11">
        <v>1.30360034</v>
      </c>
      <c r="H168" s="11">
        <v>1.3173866117092099</v>
      </c>
      <c r="J168" s="11">
        <v>1.2871974799999999</v>
      </c>
      <c r="K168" s="11">
        <v>1.0381291100000001</v>
      </c>
      <c r="L168" s="11">
        <v>1.29099644</v>
      </c>
      <c r="M168" s="11">
        <v>1.2698233400000001</v>
      </c>
      <c r="N168" s="11">
        <v>4.15369308</v>
      </c>
      <c r="P168" s="11">
        <v>1.26454932</v>
      </c>
      <c r="Q168" s="11">
        <v>1.1209920600000001</v>
      </c>
    </row>
    <row r="169" spans="1:17" x14ac:dyDescent="0.25">
      <c r="A169" s="4">
        <f>+WORKDAY(A168,1,Feriados!$A$2:$A$38)</f>
        <v>46318</v>
      </c>
      <c r="B169" s="11">
        <v>1.2708400799999999</v>
      </c>
      <c r="C169" s="11">
        <v>1.52741438</v>
      </c>
      <c r="D169" s="11">
        <v>1.05003987</v>
      </c>
      <c r="F169" s="11">
        <v>1.3837471800000001</v>
      </c>
      <c r="G169" s="11">
        <v>1.3062423299999999</v>
      </c>
      <c r="H169" s="11">
        <v>1.325</v>
      </c>
      <c r="J169" s="11">
        <v>1.2895291</v>
      </c>
      <c r="K169" s="11">
        <v>1.0403325299999999</v>
      </c>
      <c r="L169" s="11">
        <v>1.2914996599999999</v>
      </c>
      <c r="M169" s="11">
        <v>1.2711267399999999</v>
      </c>
      <c r="N169" s="11">
        <v>4.1552726699999996</v>
      </c>
      <c r="P169" s="11">
        <v>1.2669077200000001</v>
      </c>
      <c r="Q169" s="11">
        <v>1.12313106</v>
      </c>
    </row>
    <row r="170" spans="1:17" x14ac:dyDescent="0.25">
      <c r="A170" s="4">
        <f>+WORKDAY(A169,1,Feriados!$A$2:$A$38)</f>
        <v>46321</v>
      </c>
      <c r="B170" s="11">
        <v>1.2710396799999999</v>
      </c>
      <c r="C170" s="11">
        <v>1.52738358</v>
      </c>
      <c r="D170" s="11">
        <v>1.04895103</v>
      </c>
      <c r="F170" s="11">
        <v>1.3811323</v>
      </c>
      <c r="G170" s="11">
        <v>1.30204184</v>
      </c>
      <c r="H170" s="11">
        <v>1.30851348</v>
      </c>
      <c r="J170" s="11">
        <v>1.29113915</v>
      </c>
      <c r="K170" s="11">
        <v>1.0405007399999999</v>
      </c>
      <c r="L170" s="11">
        <v>1.28512341</v>
      </c>
      <c r="M170" s="11">
        <v>1.2688915700000001</v>
      </c>
      <c r="N170" s="11">
        <v>4.14267699</v>
      </c>
      <c r="P170" s="11">
        <v>1.26495333</v>
      </c>
      <c r="Q170" s="11">
        <v>1.1221947800000001</v>
      </c>
    </row>
    <row r="171" spans="1:17" x14ac:dyDescent="0.25">
      <c r="A171" s="4">
        <f>+WORKDAY(A170,1,Feriados!$A$2:$A$38)</f>
        <v>46322</v>
      </c>
      <c r="B171" s="11">
        <v>1.27182635</v>
      </c>
      <c r="C171" s="11">
        <v>1.52746505</v>
      </c>
      <c r="D171" s="11">
        <v>1.0485382999999999</v>
      </c>
      <c r="F171" s="11">
        <v>1.3819150099999999</v>
      </c>
      <c r="G171" s="11">
        <v>1.30150886</v>
      </c>
      <c r="H171" s="11">
        <v>1.32761482</v>
      </c>
      <c r="J171" s="11">
        <v>1.2923122899999999</v>
      </c>
      <c r="K171" s="11">
        <v>1.04099834</v>
      </c>
      <c r="L171" s="11">
        <v>1.2864988100000001</v>
      </c>
      <c r="M171" s="11">
        <v>1.2639168700000001</v>
      </c>
      <c r="N171" s="11">
        <v>4.1390132599999996</v>
      </c>
      <c r="P171" s="11">
        <v>1.26935175</v>
      </c>
      <c r="Q171" s="11">
        <v>1.1211783799999999</v>
      </c>
    </row>
    <row r="172" spans="1:17" x14ac:dyDescent="0.25">
      <c r="A172" s="4">
        <f>+WORKDAY(A171,1,Feriados!$A$2:$A$38)</f>
        <v>46323</v>
      </c>
      <c r="B172" s="11">
        <f>INDEX('[1]Precios Históricos'!$A:$AZ,MATCH(B$1,'[1]Precios Históricos'!$B:$B,0),MATCH($A172,'[1]Precios Históricos'!$6:$6,0))</f>
        <v>1.27241106</v>
      </c>
      <c r="C172" s="11">
        <f>INDEX('[1]Precios Históricos'!$A:$AZ,MATCH(C$1,'[1]Precios Históricos'!$B:$B,0),MATCH($A172,'[1]Precios Históricos'!$6:$6,0))</f>
        <v>1.52888413</v>
      </c>
      <c r="D172" s="11">
        <f>INDEX('[1]Precios Históricos'!$A:$AZ,MATCH(D$1,'[1]Precios Históricos'!$B:$B,0),MATCH($A172,'[1]Precios Históricos'!$6:$6,0))</f>
        <v>1.0495640399999999</v>
      </c>
      <c r="F172" s="11">
        <f>INDEX('[1]Precios Históricos'!$A:$AZ,MATCH(F$1,'[1]Precios Históricos'!$B:$B,0),MATCH($A172,'[1]Precios Históricos'!$6:$6,0))</f>
        <v>1.38186988</v>
      </c>
      <c r="G172" s="11">
        <f>INDEX('[1]Precios Históricos'!$A:$AZ,MATCH(G$1,'[1]Precios Históricos'!$B:$B,0),MATCH($A172,'[1]Precios Históricos'!$6:$6,0))</f>
        <v>1.3016547199999999</v>
      </c>
      <c r="H172" s="11">
        <f>INDEX('[1]Precios Históricos'!$A:$AZ,MATCH(H$1,'[1]Precios Históricos'!$B:$B,0),MATCH($A172,'[1]Precios Históricos'!$6:$6,0))</f>
        <v>1.3179069299999999</v>
      </c>
      <c r="J172" s="11">
        <f>INDEX('[1]Precios Históricos'!$A:$AZ,MATCH(J$1,'[1]Precios Históricos'!$B:$B,0),MATCH($A172,'[1]Precios Históricos'!$6:$6,0))</f>
        <v>1.2918069299999999</v>
      </c>
      <c r="K172" s="11">
        <f>INDEX('[1]Precios Históricos'!$A:$AZ,MATCH(K$1,'[1]Precios Históricos'!$B:$B,0),MATCH($A172,'[1]Precios Históricos'!$6:$6,0))</f>
        <v>1.0413750100000001</v>
      </c>
      <c r="L172" s="11">
        <f>INDEX('[1]Precios Históricos'!$A:$AZ,MATCH(L$1,'[1]Precios Históricos'!$B:$B,0),MATCH($A172,'[1]Precios Históricos'!$6:$6,0))</f>
        <v>1.28851677</v>
      </c>
      <c r="M172" s="11">
        <f>INDEX('[1]Precios Históricos'!$A:$AZ,MATCH(M$1,'[1]Precios Históricos'!$B:$B,0),MATCH($A172,'[1]Precios Históricos'!$6:$6,0))</f>
        <v>1.26848428</v>
      </c>
      <c r="N172" s="11">
        <f>INDEX('[1]Precios Históricos'!$A:$AZ,MATCH(N$1,'[1]Precios Históricos'!$B:$B,0),MATCH($A172,'[1]Precios Históricos'!$6:$6,0))</f>
        <v>4.1420291300000001</v>
      </c>
      <c r="P172" s="11">
        <f>INDEX('[1]Precios Históricos'!$A:$AZ,MATCH(P$1,'[1]Precios Históricos'!$B:$B,0),MATCH($A172,'[1]Precios Históricos'!$6:$6,0))</f>
        <v>1.2669274500000001</v>
      </c>
      <c r="Q172" s="11">
        <f>INDEX('[1]Precios Históricos'!$A:$AZ,MATCH(Q$1,'[1]Precios Históricos'!$B:$B,0),MATCH($A172,'[1]Precios Históricos'!$6:$6,0))</f>
        <v>1.12101173</v>
      </c>
    </row>
    <row r="173" spans="1:17" x14ac:dyDescent="0.25">
      <c r="A173" s="4">
        <f>+WORKDAY(A172,1,Feriados!$A$2:$A$38)</f>
        <v>46324</v>
      </c>
      <c r="B173" s="11">
        <f>INDEX('[1]Precios Históricos'!$A:$AZ,MATCH(B$1,'[1]Precios Históricos'!$B:$B,0),MATCH($A173,'[1]Precios Históricos'!$6:$6,0))</f>
        <v>1.2745239500000001</v>
      </c>
      <c r="C173" s="11">
        <f>INDEX('[1]Precios Históricos'!$A:$AZ,MATCH(C$1,'[1]Precios Históricos'!$B:$B,0),MATCH($A173,'[1]Precios Históricos'!$6:$6,0))</f>
        <v>1.5315555199999999</v>
      </c>
      <c r="D173" s="11">
        <f>INDEX('[1]Precios Históricos'!$A:$AZ,MATCH(D$1,'[1]Precios Históricos'!$B:$B,0),MATCH($A173,'[1]Precios Históricos'!$6:$6,0))</f>
        <v>1.05197753</v>
      </c>
      <c r="F173" s="11">
        <f>INDEX('[1]Precios Históricos'!$A:$AZ,MATCH(F$1,'[1]Precios Históricos'!$B:$B,0),MATCH($A173,'[1]Precios Históricos'!$6:$6,0))</f>
        <v>1.3858884499999999</v>
      </c>
      <c r="G173" s="11">
        <f>INDEX('[1]Precios Históricos'!$A:$AZ,MATCH(G$1,'[1]Precios Históricos'!$B:$B,0),MATCH($A173,'[1]Precios Históricos'!$6:$6,0))</f>
        <v>1.30482688</v>
      </c>
      <c r="H173" s="11">
        <f>INDEX('[1]Precios Históricos'!$A:$AZ,MATCH(H$1,'[1]Precios Históricos'!$B:$B,0),MATCH($A173,'[1]Precios Históricos'!$6:$6,0))</f>
        <v>1.3114656899999999</v>
      </c>
      <c r="J173" s="11">
        <f>INDEX('[1]Precios Históricos'!$A:$AZ,MATCH(J$1,'[1]Precios Históricos'!$B:$B,0),MATCH($A173,'[1]Precios Históricos'!$6:$6,0))</f>
        <v>1.2923029800000001</v>
      </c>
      <c r="K173" s="11">
        <f>INDEX('[1]Precios Históricos'!$A:$AZ,MATCH(K$1,'[1]Precios Históricos'!$B:$B,0),MATCH($A173,'[1]Precios Históricos'!$6:$6,0))</f>
        <v>1.0417772199999999</v>
      </c>
      <c r="L173" s="11">
        <f>INDEX('[1]Precios Históricos'!$A:$AZ,MATCH(L$1,'[1]Precios Históricos'!$B:$B,0),MATCH($A173,'[1]Precios Históricos'!$6:$6,0))</f>
        <v>1.2934913299999999</v>
      </c>
      <c r="M173" s="11">
        <f>INDEX('[1]Precios Históricos'!$A:$AZ,MATCH(M$1,'[1]Precios Históricos'!$B:$B,0),MATCH($A173,'[1]Precios Históricos'!$6:$6,0))</f>
        <v>1.2729492200000001</v>
      </c>
      <c r="N173" s="11">
        <f>INDEX('[1]Precios Históricos'!$A:$AZ,MATCH(N$1,'[1]Precios Históricos'!$B:$B,0),MATCH($A173,'[1]Precios Históricos'!$6:$6,0))</f>
        <v>4.1595105200000004</v>
      </c>
      <c r="P173" s="11">
        <f>INDEX('[1]Precios Históricos'!$A:$AZ,MATCH(P$1,'[1]Precios Históricos'!$B:$B,0),MATCH($A173,'[1]Precios Históricos'!$6:$6,0))</f>
        <v>1.27044438</v>
      </c>
      <c r="Q173" s="11">
        <f>INDEX('[1]Precios Históricos'!$A:$AZ,MATCH(Q$1,'[1]Precios Históricos'!$B:$B,0),MATCH($A173,'[1]Precios Históricos'!$6:$6,0))</f>
        <v>1.1256691599999999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3"/>
  <sheetViews>
    <sheetView topLeftCell="A411" workbookViewId="0">
      <selection activeCell="S421" sqref="S421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+IFERROR(VLOOKUP(A420,[2]Variables!$M:$N,2,0),0)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+IFERROR(VLOOKUP(A421,[2]Variables!$M:$N,2,0),0)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+IFERROR(VLOOKUP(A422,[2]Variables!$M:$N,2,0),0)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+IFERROR(VLOOKUP(A423,[2]Variables!$M:$N,2,0),0)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+IFERROR(VLOOKUP(A424,[2]Variables!$M:$N,2,0),0)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+IFERROR(VLOOKUP(A425,[2]Variables!$M:$N,2,0),0)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+IFERROR(VLOOKUP(A426,[2]Variables!$M:$N,2,0),0)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+IFERROR(VLOOKUP(A427,[2]Variables!$M:$N,2,0),0)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+IFERROR(VLOOKUP(A428,[2]Variables!$M:$N,2,0),0)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+IFERROR(VLOOKUP(A429,[2]Variables!$M:$N,2,0),0)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+IFERROR(VLOOKUP(A430,[2]Variables!$M:$N,2,0),0)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+IFERROR(VLOOKUP(A431,[2]Variables!$M:$N,2,0),0)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+IFERROR(VLOOKUP(A432,[2]Variables!$M:$N,2,0),0)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+IFERROR(VLOOKUP(A433,[2]Variables!$M:$N,2,0),0)</f>
        <v>24.5625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+IFERROR(VLOOKUP(A435,[2]Variables!$M:$N,2,0),0)</f>
        <v>24.625</v>
      </c>
    </row>
    <row r="436" spans="1:3" x14ac:dyDescent="0.25">
      <c r="A436" s="2">
        <f>+WORKDAY(A435,1,Feriados!$A$2:$A$38)</f>
        <v>46314</v>
      </c>
      <c r="B436" s="3">
        <f>+IFERROR(VLOOKUP(A436,[2]Variables!$M:$N,2,0),0)</f>
        <v>24</v>
      </c>
    </row>
    <row r="437" spans="1:3" x14ac:dyDescent="0.25">
      <c r="A437" s="2">
        <f>+WORKDAY(A436,1,Feriados!$A$2:$A$38)</f>
        <v>46315</v>
      </c>
      <c r="B437" s="3">
        <f>+IFERROR(VLOOKUP(A437,[2]Variables!$M:$N,2,0),0)</f>
        <v>24.375</v>
      </c>
    </row>
    <row r="438" spans="1:3" x14ac:dyDescent="0.25">
      <c r="A438" s="2">
        <f>+WORKDAY(A437,1,Feriados!$A$2:$A$38)</f>
        <v>46316</v>
      </c>
      <c r="B438" s="3">
        <f>+IFERROR(VLOOKUP(A438,[2]Variables!$M:$N,2,0),0)</f>
        <v>24.1875</v>
      </c>
    </row>
    <row r="439" spans="1:3" x14ac:dyDescent="0.25">
      <c r="A439" s="2">
        <f>+WORKDAY(A438,1,Feriados!$A$2:$A$38)</f>
        <v>46317</v>
      </c>
      <c r="B439" s="3">
        <f>+IFERROR(VLOOKUP(A439,[2]Variables!$M:$N,2,0),0)</f>
        <v>24.5</v>
      </c>
    </row>
    <row r="440" spans="1:3" x14ac:dyDescent="0.25">
      <c r="A440" s="2">
        <f>+WORKDAY(A439,1,Feriados!$A$2:$A$38)</f>
        <v>46318</v>
      </c>
      <c r="B440" s="3">
        <f>+IFERROR(VLOOKUP(A440,[2]Variables!$M:$N,2,0),0)</f>
        <v>24.375</v>
      </c>
    </row>
    <row r="441" spans="1:3" x14ac:dyDescent="0.25">
      <c r="A441" s="2">
        <f>+WORKDAY(A440,1,Feriados!$A$2:$A$38)</f>
        <v>46321</v>
      </c>
      <c r="B441" s="3">
        <f>+IFERROR(VLOOKUP(A441,[2]Variables!$M:$N,2,0),0)</f>
        <v>24.125</v>
      </c>
    </row>
    <row r="442" spans="1:3" x14ac:dyDescent="0.25">
      <c r="A442" s="2">
        <f>+WORKDAY(A441,1,Feriados!$A$2:$A$38)</f>
        <v>46322</v>
      </c>
      <c r="B442" s="3">
        <f>+IFERROR(VLOOKUP(A442,[2]Variables!$M:$N,2,0),0)</f>
        <v>24.5625</v>
      </c>
    </row>
    <row r="443" spans="1:3" x14ac:dyDescent="0.25">
      <c r="A443" s="2">
        <f>+WORKDAY(A442,1,Feriados!$A$2:$A$38)</f>
        <v>46323</v>
      </c>
      <c r="B443" s="3">
        <f>+IFERROR(VLOOKUP(A443,[2]Variables!$M:$N,2,0),0)</f>
        <v>23.5625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96"/>
  <sheetViews>
    <sheetView topLeftCell="A425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+WORKDAY(A419,1,[3]Feriados!$A$2:$A$38)</f>
        <v>46289</v>
      </c>
      <c r="B420" s="3">
        <v>844.43527310563002</v>
      </c>
    </row>
    <row r="421" spans="1:2" x14ac:dyDescent="0.25">
      <c r="A421" s="2">
        <f>+WORKDAY(A420,1,[3]Feriados!$A$2:$A$38)</f>
        <v>46290</v>
      </c>
      <c r="B421" s="3">
        <v>844.90989791504001</v>
      </c>
    </row>
    <row r="422" spans="1:2" x14ac:dyDescent="0.25">
      <c r="A422" s="2">
        <f>+WORKDAY(A421,1,[3]Feriados!$A$2:$A$38)</f>
        <v>46293</v>
      </c>
      <c r="B422" s="3">
        <v>846.33537355394003</v>
      </c>
    </row>
    <row r="423" spans="1:2" x14ac:dyDescent="0.25">
      <c r="A423" s="2">
        <f>+WORKDAY(A422,1,[3]Feriados!$A$2:$A$38)</f>
        <v>46294</v>
      </c>
      <c r="B423" s="3">
        <v>846.81106633722004</v>
      </c>
    </row>
    <row r="424" spans="1:2" x14ac:dyDescent="0.25">
      <c r="A424" s="2">
        <f>+WORKDAY(A423,1,[3]Feriados!$A$2:$A$38)</f>
        <v>46295</v>
      </c>
      <c r="B424" s="3">
        <v>847.28702648924002</v>
      </c>
    </row>
    <row r="425" spans="1:2" x14ac:dyDescent="0.25">
      <c r="A425" s="2">
        <f>+WORKDAY(A424,1,[3]Feriados!$A$2:$A$38)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+WORKDAY(A425,1,[3]Feriados!$A$2:$A$38)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+WORKDAY(A426,1,[3]Feriados!$A$2:$A$38)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+WORKDAY(A427,1,[3]Feriados!$A$2:$A$38)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+WORKDAY(A428,1,[3]Feriados!$A$2:$A$38)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+WORKDAY(A429,1,[3]Feriados!$A$2:$A$38)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+WORKDAY(A430,1,[3]Feriados!$A$2:$A$38)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+WORKDAY(A431,1,[3]Feriados!$A$2:$A$38)</f>
        <v>46308</v>
      </c>
      <c r="B432" s="3">
        <f>+IFERROR(VLOOKUP(A432,[2]Variables!$P:$Q,2,0),B431)</f>
        <v>853.49890751288001</v>
      </c>
    </row>
    <row r="433" spans="1:2" x14ac:dyDescent="0.25">
      <c r="A433" s="2">
        <f>+WORKDAY(A432,1,[3]Feriados!$A$2:$A$38)</f>
        <v>46309</v>
      </c>
      <c r="B433" s="3">
        <f>+IFERROR(VLOOKUP(A433,[2]Variables!$P:$Q,2,0),B432)</f>
        <v>853.97862664495005</v>
      </c>
    </row>
    <row r="434" spans="1:2" x14ac:dyDescent="0.25">
      <c r="A434" s="2">
        <f>+WORKDAY(A433,1,[3]Feriados!$A$2:$A$38)</f>
        <v>46310</v>
      </c>
      <c r="B434" s="3">
        <f>+IFERROR(VLOOKUP(A434,[2]Variables!$P:$Q,2,0),B433)</f>
        <v>854.45861540882004</v>
      </c>
    </row>
    <row r="435" spans="1:2" x14ac:dyDescent="0.25">
      <c r="A435" s="2">
        <f>+WORKDAY(A434,1,[3]Feriados!$A$2:$A$38)</f>
        <v>46311</v>
      </c>
      <c r="B435" s="3">
        <f>+IFERROR(VLOOKUP(A435,[2]Variables!$P:$Q,2,0),B434)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+IFERROR(VLOOKUP(A436,[2]Variables!$P:$Q,2,0),B435)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+IFERROR(VLOOKUP(A437,[2]Variables!$P:$Q,2,0),B436)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+IFERROR(VLOOKUP(A438,[2]Variables!$P:$Q,2,0),B437)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+IFERROR(VLOOKUP(A439,[2]Variables!$P:$Q,2,0),B438)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+IFERROR(VLOOKUP(A440,[2]Variables!$P:$Q,2,0),B439)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+IFERROR(VLOOKUP(A441,[2]Variables!$P:$Q,2,0),B440)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+IFERROR(VLOOKUP(A442,[2]Variables!$P:$Q,2,0),B441)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+IFERROR(VLOOKUP(A443,[2]Variables!$P:$Q,2,0),B442)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+IFERROR(VLOOKUP(A444,[2]Variables!$P:$Q,2,0),B443)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+IFERROR(VLOOKUP(A445,[2]Variables!$P:$Q,2,0),B444)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+IFERROR(VLOOKUP(A446,[2]Variables!$P:$Q,2,0),B445)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+IFERROR(VLOOKUP(A447,[2]Variables!$P:$Q,2,0),B446)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+IFERROR(VLOOKUP(A448,[2]Variables!$P:$Q,2,0),B447)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6"/>
  <sheetViews>
    <sheetView workbookViewId="0">
      <selection activeCell="C24" sqref="C24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+[4]Hoja1!$B31</f>
        <v>46167</v>
      </c>
    </row>
    <row r="3" spans="1:1" x14ac:dyDescent="0.25">
      <c r="A3" s="1">
        <f>+[4]Hoja1!$B32</f>
        <v>46188</v>
      </c>
    </row>
    <row r="4" spans="1:1" x14ac:dyDescent="0.25">
      <c r="A4" s="1">
        <f>+[4]Hoja1!$B33</f>
        <v>46212</v>
      </c>
    </row>
    <row r="5" spans="1:1" x14ac:dyDescent="0.25">
      <c r="A5" s="1">
        <f>+[4]Hoja1!$B34</f>
        <v>46213</v>
      </c>
    </row>
    <row r="6" spans="1:1" x14ac:dyDescent="0.25">
      <c r="A6" s="1">
        <f>+[4]Hoja1!$B35</f>
        <v>46251</v>
      </c>
    </row>
    <row r="7" spans="1:1" x14ac:dyDescent="0.25">
      <c r="A7" s="1">
        <f>+[4]Hoja1!$B36</f>
        <v>46307</v>
      </c>
    </row>
    <row r="8" spans="1:1" x14ac:dyDescent="0.25">
      <c r="A8" s="1">
        <f>+[4]Hoja1!$B37</f>
        <v>46332</v>
      </c>
    </row>
    <row r="9" spans="1:1" x14ac:dyDescent="0.25">
      <c r="A9" s="1">
        <f>+[4]Hoja1!$B38</f>
        <v>46335</v>
      </c>
    </row>
    <row r="10" spans="1:1" x14ac:dyDescent="0.25">
      <c r="A10" s="1">
        <f>+[4]Hoja1!$B39</f>
        <v>46336</v>
      </c>
    </row>
    <row r="11" spans="1:1" x14ac:dyDescent="0.25">
      <c r="A11" s="1">
        <f>+[4]Hoja1!$B40</f>
        <v>46349</v>
      </c>
    </row>
    <row r="12" spans="1:1" x14ac:dyDescent="0.25">
      <c r="A12" s="1">
        <f>+[4]Hoja1!$B41</f>
        <v>46363</v>
      </c>
    </row>
    <row r="13" spans="1:1" x14ac:dyDescent="0.25">
      <c r="A13" s="1">
        <f>+[4]Hoja1!$B42</f>
        <v>46364</v>
      </c>
    </row>
    <row r="14" spans="1:1" x14ac:dyDescent="0.25">
      <c r="A14" s="1">
        <f>+[4]Hoja1!$B43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tabSelected="1" workbookViewId="0">
      <selection activeCell="C6" sqref="C6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15</v>
      </c>
      <c r="B2" s="7">
        <v>46006</v>
      </c>
      <c r="C2" s="7">
        <v>46356</v>
      </c>
      <c r="D2" s="6">
        <v>2.3E-2</v>
      </c>
    </row>
    <row r="3" spans="1:4" x14ac:dyDescent="0.25">
      <c r="A3" t="s">
        <v>7</v>
      </c>
      <c r="B3" s="7">
        <v>45688</v>
      </c>
      <c r="C3" s="7">
        <v>46402</v>
      </c>
      <c r="D3" s="6">
        <v>2.0499999999999997E-2</v>
      </c>
    </row>
    <row r="4" spans="1:4" x14ac:dyDescent="0.25">
      <c r="A4" t="s">
        <v>3</v>
      </c>
      <c r="B4" s="7">
        <v>46265</v>
      </c>
      <c r="C4" s="7">
        <v>46416</v>
      </c>
      <c r="D4" s="6">
        <v>2.1899999999999999E-2</v>
      </c>
    </row>
    <row r="5" spans="1:4" x14ac:dyDescent="0.25">
      <c r="A5" t="s">
        <v>23</v>
      </c>
      <c r="B5" s="7">
        <v>46325</v>
      </c>
      <c r="C5" s="7">
        <v>46444</v>
      </c>
      <c r="D5" s="6">
        <v>2.1000000000000001E-2</v>
      </c>
    </row>
    <row r="6" spans="1:4" x14ac:dyDescent="0.25">
      <c r="A6" t="s">
        <v>16</v>
      </c>
      <c r="B6" s="7">
        <v>45961</v>
      </c>
      <c r="C6" s="7">
        <v>46507</v>
      </c>
      <c r="D6" s="6">
        <v>2.5499999999999998E-2</v>
      </c>
    </row>
    <row r="7" spans="1:4" x14ac:dyDescent="0.25">
      <c r="A7" t="s">
        <v>11</v>
      </c>
      <c r="B7" s="7">
        <v>46006</v>
      </c>
      <c r="C7" s="7">
        <v>46538</v>
      </c>
      <c r="D7" s="6">
        <v>2.4E-2</v>
      </c>
    </row>
    <row r="8" spans="1:4" x14ac:dyDescent="0.25">
      <c r="A8" t="s">
        <v>17</v>
      </c>
      <c r="B8" s="7">
        <v>46038</v>
      </c>
      <c r="C8" s="7">
        <v>46568</v>
      </c>
      <c r="D8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8">
        <v>46066</v>
      </c>
      <c r="C2" s="7">
        <v>46444</v>
      </c>
      <c r="D2" s="6">
        <v>6.5000000000000002E-2</v>
      </c>
    </row>
    <row r="3" spans="1:4" x14ac:dyDescent="0.25">
      <c r="A3" t="s">
        <v>12</v>
      </c>
      <c r="B3" s="8">
        <v>46203</v>
      </c>
      <c r="C3" s="7">
        <v>46598</v>
      </c>
      <c r="D3" s="6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"/>
  <sheetViews>
    <sheetView workbookViewId="0">
      <selection activeCell="E8" sqref="E8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20</v>
      </c>
      <c r="B2" s="7">
        <v>46006</v>
      </c>
      <c r="C2" s="7">
        <v>46356</v>
      </c>
      <c r="D2" s="6">
        <v>0</v>
      </c>
      <c r="E2">
        <v>659.6789</v>
      </c>
    </row>
    <row r="3" spans="1:5" x14ac:dyDescent="0.25">
      <c r="A3" t="s">
        <v>13</v>
      </c>
      <c r="B3" s="7">
        <v>46248</v>
      </c>
      <c r="C3" s="7">
        <v>46416</v>
      </c>
      <c r="D3" s="6">
        <v>0</v>
      </c>
      <c r="E3">
        <v>815.43449999999996</v>
      </c>
    </row>
    <row r="4" spans="1:5" x14ac:dyDescent="0.25">
      <c r="A4" t="s">
        <v>19</v>
      </c>
      <c r="B4" s="7">
        <v>45989</v>
      </c>
      <c r="C4" s="7">
        <v>46507</v>
      </c>
      <c r="D4" s="6">
        <v>0</v>
      </c>
      <c r="E4">
        <v>651.8981</v>
      </c>
    </row>
    <row r="5" spans="1:5" x14ac:dyDescent="0.25">
      <c r="A5" t="s">
        <v>14</v>
      </c>
      <c r="B5" s="7">
        <v>46006</v>
      </c>
      <c r="C5" s="7">
        <v>46538</v>
      </c>
      <c r="D5" s="6">
        <v>0</v>
      </c>
      <c r="E5">
        <v>659.6789</v>
      </c>
    </row>
    <row r="6" spans="1:5" x14ac:dyDescent="0.25">
      <c r="A6" t="s">
        <v>18</v>
      </c>
      <c r="B6" s="7">
        <v>45323</v>
      </c>
      <c r="C6" s="7">
        <v>46568</v>
      </c>
      <c r="D6" s="6">
        <v>0</v>
      </c>
      <c r="E6">
        <v>200.38800000000001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2026-10-30T16:38:28Z</dcterms:modified>
</cp:coreProperties>
</file>