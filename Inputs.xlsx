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BE CER y Tamar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7" i="3" l="1"/>
  <c r="D167" i="3" s="1"/>
  <c r="O167" i="3" l="1"/>
  <c r="B167" i="3"/>
  <c r="K167" i="3"/>
  <c r="J167" i="3"/>
  <c r="G167" i="3"/>
  <c r="F167" i="3"/>
  <c r="C167" i="3"/>
  <c r="N167" i="3"/>
  <c r="M167" i="3"/>
  <c r="L167" i="3"/>
  <c r="I167" i="3"/>
  <c r="H167" i="3"/>
  <c r="E167" i="3"/>
  <c r="A420" i="6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C162" i="3"/>
  <c r="D162" i="3"/>
  <c r="E162" i="3"/>
  <c r="A163" i="3"/>
  <c r="A164" i="3" s="1"/>
  <c r="A165" i="3" s="1"/>
  <c r="A166" i="3" s="1"/>
  <c r="F162" i="3"/>
  <c r="B162" i="3"/>
  <c r="A426" i="1"/>
  <c r="B426" i="1" s="1"/>
  <c r="I166" i="3" l="1"/>
  <c r="J166" i="3"/>
  <c r="K166" i="3"/>
  <c r="E166" i="3"/>
  <c r="F166" i="3"/>
  <c r="G166" i="3"/>
  <c r="H166" i="3"/>
  <c r="L166" i="3"/>
  <c r="M166" i="3"/>
  <c r="B166" i="3"/>
  <c r="N166" i="3"/>
  <c r="C166" i="3"/>
  <c r="O166" i="3"/>
  <c r="D166" i="3"/>
  <c r="C165" i="3"/>
  <c r="O165" i="3"/>
  <c r="E165" i="3"/>
  <c r="J165" i="3"/>
  <c r="M165" i="3"/>
  <c r="D165" i="3"/>
  <c r="F165" i="3"/>
  <c r="I165" i="3"/>
  <c r="K165" i="3"/>
  <c r="B165" i="3"/>
  <c r="G165" i="3"/>
  <c r="H165" i="3"/>
  <c r="L165" i="3"/>
  <c r="N165" i="3"/>
  <c r="B164" i="3"/>
  <c r="G164" i="3"/>
  <c r="O164" i="3"/>
  <c r="I164" i="3"/>
  <c r="N164" i="3"/>
  <c r="L164" i="3"/>
  <c r="K164" i="3"/>
  <c r="J164" i="3"/>
  <c r="H164" i="3"/>
  <c r="M164" i="3"/>
  <c r="A443" i="6"/>
  <c r="B442" i="6"/>
  <c r="E164" i="3"/>
  <c r="D164" i="3"/>
  <c r="C164" i="3"/>
  <c r="F164" i="3"/>
  <c r="C163" i="3"/>
  <c r="D163" i="3"/>
  <c r="E163" i="3"/>
  <c r="F163" i="3"/>
  <c r="B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A438" i="1" s="1"/>
  <c r="B436" i="1"/>
  <c r="A453" i="6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<sst xmlns="http://schemas.openxmlformats.org/spreadsheetml/2006/main" count="48" uniqueCount="23">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</sst>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#,##0.0000"/>
    <numFmt numFmtId="165" formatCode="_-* #,##0.00000_-;\-* #,##0.000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165" fontId="0" fillId="0" borderId="0" xfId="2" applyNumberFormat="1" applyFont="1"/>
    <xf numFmtId="165" fontId="0" fillId="0" borderId="0" xfId="2" applyNumberFormat="1" applyFont="1" applyFill="1"/>
    <xf numFmtId="164" fontId="0" fillId="3" borderId="1" xfId="1" applyNumberFormat="1" applyFont="1" applyFill="1" applyBorder="1" applyAlignment="1">
      <alignment horizontal="center" vertical="center"/>
    </xf>
  </cellXfs>
  <cellStyles count="3">
    <cellStyle name="Millares" xfId="2" builtinId="3"/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>
        <row r="1">
          <cell r="D1" t="b">
            <v>1</v>
          </cell>
        </row>
      </sheetData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>
            <v>46315</v>
          </cell>
          <cell r="I6">
            <v>46316</v>
          </cell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 t="str">
            <v>Px Hoy</v>
          </cell>
          <cell r="I7" t="str">
            <v>Px Hoy</v>
          </cell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>
            <v>1.0349804199999999</v>
          </cell>
          <cell r="I11">
            <v>1.03541214</v>
          </cell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>
            <v>0.55400811999999999</v>
          </cell>
          <cell r="I12">
            <v>0.55128723999999996</v>
          </cell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>
            <v>0.56833805999999998</v>
          </cell>
          <cell r="I13">
            <v>0.56683755000000002</v>
          </cell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>
            <v>0.92653333999999998</v>
          </cell>
          <cell r="I14">
            <v>0.91976760000000002</v>
          </cell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>
            <v>0.85722827999999995</v>
          </cell>
          <cell r="I15">
            <v>0.86258517999999995</v>
          </cell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>
            <v>0.88033021</v>
          </cell>
          <cell r="I16">
            <v>0.88019263999999997</v>
          </cell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>
            <v>0.73189634999999997</v>
          </cell>
          <cell r="I17">
            <v>0.73018035999999997</v>
          </cell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>
            <v>0.79169111999999997</v>
          </cell>
          <cell r="I18">
            <v>0.78851773999999997</v>
          </cell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>
            <v>0.70043750999999999</v>
          </cell>
          <cell r="I19">
            <v>0.70017711000000005</v>
          </cell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>
            <v>0.74345437000000003</v>
          </cell>
          <cell r="I20">
            <v>0.73758840000000003</v>
          </cell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>
            <v>0.65210818000000004</v>
          </cell>
          <cell r="I21">
            <v>0.64742909999999998</v>
          </cell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>
            <v>0.69215795000000002</v>
          </cell>
          <cell r="I22">
            <v>0.68502668</v>
          </cell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>
            <v>0.6282797</v>
          </cell>
          <cell r="I23">
            <v>0.62329707000000001</v>
          </cell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>
            <v>1603.4716997999999</v>
          </cell>
          <cell r="I27">
            <v>1604.1164756799999</v>
          </cell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>
            <v>856.62819062999995</v>
          </cell>
          <cell r="I28">
            <v>851.21788481999999</v>
          </cell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>
            <v>877.86325844999999</v>
          </cell>
          <cell r="I29">
            <v>877.04375371000003</v>
          </cell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>
            <v>1431.63425833</v>
          </cell>
          <cell r="I30">
            <v>1426.32459485</v>
          </cell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>
            <v>1324.6184797599999</v>
          </cell>
          <cell r="I31">
            <v>1335.1665488599999</v>
          </cell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>
            <v>1359.9283537900001</v>
          </cell>
          <cell r="I32">
            <v>1365.21850404</v>
          </cell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>
            <v>1132.4531455399999</v>
          </cell>
          <cell r="I33">
            <v>1133.8393331299999</v>
          </cell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>
            <v>1220.0117383899999</v>
          </cell>
          <cell r="I34">
            <v>1221.1131717599999</v>
          </cell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>
            <v>1084.89340472</v>
          </cell>
          <cell r="I35">
            <v>1085.6426758</v>
          </cell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>
            <v>1144.8601667200001</v>
          </cell>
          <cell r="I36">
            <v>1145.03599061</v>
          </cell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>
            <v>1006.9270033499999</v>
          </cell>
          <cell r="I37">
            <v>1004.367065</v>
          </cell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>
            <v>1066.39671576</v>
          </cell>
          <cell r="I38">
            <v>1065.47013698</v>
          </cell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>
            <v>974.39452009000001</v>
          </cell>
          <cell r="I39">
            <v>974.9500845</v>
          </cell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>
            <v>1.0522571000000001</v>
          </cell>
          <cell r="I43">
            <v>1.0513308100000001</v>
          </cell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>
            <v>1629.8302705399999</v>
          </cell>
          <cell r="I47">
            <v>1625.03191797</v>
          </cell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>
            <v>1.3462021099999999</v>
          </cell>
          <cell r="I51">
            <v>1.34694896</v>
          </cell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>
            <v>1.08108965</v>
          </cell>
          <cell r="I52">
            <v>1.0817655799999999</v>
          </cell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>
            <v>1.2667788499999999</v>
          </cell>
          <cell r="I53">
            <v>1.2678373000000001</v>
          </cell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>
            <v>1.04730795</v>
          </cell>
          <cell r="I54">
            <v>1.0483183599999999</v>
          </cell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>
            <v>1.5249278500000001</v>
          </cell>
          <cell r="I58">
            <v>1.5252739099999999</v>
          </cell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>
            <v>1.38088601</v>
          </cell>
          <cell r="I59">
            <v>1.38344445</v>
          </cell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>
            <v>1.3009219000000001</v>
          </cell>
          <cell r="I60">
            <v>1.3035093099999999</v>
          </cell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>
            <v>1.32152921</v>
          </cell>
          <cell r="I61">
            <v>1.31171438</v>
          </cell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>
            <v>1.1330680799999999</v>
          </cell>
          <cell r="I62">
            <v>1.1338065900000001</v>
          </cell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>
            <v>1.7457688899999999</v>
          </cell>
          <cell r="I66">
            <v>1.7475036100000001</v>
          </cell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>
            <v>1.2627306899999999</v>
          </cell>
          <cell r="I70">
            <v>1.26323282</v>
          </cell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>
            <v>1.11652306</v>
          </cell>
          <cell r="I71">
            <v>1.1193425800000001</v>
          </cell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>
            <v>1.2122706000000001</v>
          </cell>
          <cell r="I72">
            <v>1.2152442000000001</v>
          </cell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>
            <v>1.1015386300000001</v>
          </cell>
          <cell r="I73">
            <v>1.10396136</v>
          </cell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>
            <v>1.0349368299999999</v>
          </cell>
          <cell r="I77">
            <v>1.0424027600000001</v>
          </cell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>
            <v>0.96700498000000001</v>
          </cell>
          <cell r="I78">
            <v>0.97000193000000001</v>
          </cell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>
            <v>0.94940062999999997</v>
          </cell>
          <cell r="I79">
            <v>0.95250014000000005</v>
          </cell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>
            <v>0.88108792000000002</v>
          </cell>
          <cell r="I80">
            <v>0.88141670000000005</v>
          </cell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>
            <v>0.85150086000000003</v>
          </cell>
          <cell r="I81">
            <v>0.85225236999999998</v>
          </cell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>
            <v>1.7708283199999999</v>
          </cell>
          <cell r="I85">
            <v>1.7724536900000001</v>
          </cell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>
            <v>7.5937811200000001</v>
          </cell>
          <cell r="I86">
            <v>7.5999057900000002</v>
          </cell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>
            <v>1.2854595799999999</v>
          </cell>
          <cell r="I87">
            <v>1.2865622699999999</v>
          </cell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>
            <v>3.12464619</v>
          </cell>
          <cell r="I88">
            <v>3.1273752899999998</v>
          </cell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>
            <v>1.03749885</v>
          </cell>
          <cell r="I89">
            <v>1.0379849699999999</v>
          </cell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>
            <v>2.3298943300000001</v>
          </cell>
          <cell r="I90">
            <v>2.3315063999999999</v>
          </cell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>
            <v>1.28724576</v>
          </cell>
          <cell r="I91">
            <v>1.2895944800000001</v>
          </cell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>
            <v>1.2677409399999999</v>
          </cell>
          <cell r="I92">
            <v>1.26960213</v>
          </cell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>
            <v>4.1452876099999996</v>
          </cell>
          <cell r="I93">
            <v>4.15149597</v>
          </cell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>
            <v>1.1264308700000001</v>
          </cell>
          <cell r="I94">
            <v>1.1262223</v>
          </cell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>
            <v>1.0215940000000001</v>
          </cell>
          <cell r="I95">
            <v>1.0229999999999999</v>
          </cell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>
            <v>2.8988112400000001</v>
          </cell>
          <cell r="I96">
            <v>2.9093671799999998</v>
          </cell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>
            <v>1.0492393099999999</v>
          </cell>
          <cell r="I97">
            <v>1.0453569700000001</v>
          </cell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>
            <v>3.6326244999999999</v>
          </cell>
          <cell r="I98">
            <v>3.6433714799999999</v>
          </cell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>
            <v>0.98249960000000003</v>
          </cell>
          <cell r="I99">
            <v>0.98438888999999996</v>
          </cell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>
            <v>0.87882985000000002</v>
          </cell>
          <cell r="I100">
            <v>0.87983224000000004</v>
          </cell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>
            <v>0.92414275000000001</v>
          </cell>
          <cell r="I101">
            <v>0.92962405999999997</v>
          </cell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>
            <v>493.70228537000003</v>
          </cell>
          <cell r="I102">
            <v>495.02516274999999</v>
          </cell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>
            <v>1523.44195599</v>
          </cell>
          <cell r="I106">
            <v>1524.06621236</v>
          </cell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>
            <v>1515.92996679</v>
          </cell>
          <cell r="I107">
            <v>1517.5783862876726</v>
          </cell>
          <cell r="J107"/>
          <cell r="K107"/>
        </row>
        <row r="108">
          <cell r="B108" t="str">
            <v>D15E7</v>
          </cell>
          <cell r="C108"/>
          <cell r="D108"/>
          <cell r="E108"/>
          <cell r="F108"/>
          <cell r="G108"/>
          <cell r="H108"/>
          <cell r="I108">
            <v>1519.34405199</v>
          </cell>
          <cell r="J108"/>
          <cell r="K108"/>
        </row>
        <row r="109"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 t="str">
            <v>Bonos Soberanos Dólar Linked - TAMAR</v>
          </cell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</row>
        <row r="112">
          <cell r="B112" t="str">
            <v>TMVE8</v>
          </cell>
          <cell r="C112">
            <v>1436.15407448</v>
          </cell>
          <cell r="D112">
            <v>1435.2872485299999</v>
          </cell>
          <cell r="E112">
            <v>1439.95640652</v>
          </cell>
          <cell r="F112">
            <v>1444.99797601</v>
          </cell>
          <cell r="G112">
            <v>1447.18070072</v>
          </cell>
          <cell r="H112">
            <v>1445.02764095</v>
          </cell>
          <cell r="I112">
            <v>1451.5325221999999</v>
          </cell>
          <cell r="J112"/>
          <cell r="K112"/>
        </row>
        <row r="113"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 t="str">
            <v>Títulos Provinciales CER</v>
          </cell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</row>
        <row r="116">
          <cell r="B116" t="str">
            <v>COY27</v>
          </cell>
          <cell r="C116">
            <v>2.3437330799999998</v>
          </cell>
          <cell r="D116">
            <v>2.3443107699999999</v>
          </cell>
          <cell r="E116">
            <v>2.3470424200000002</v>
          </cell>
          <cell r="F116">
            <v>2.3526704199999999</v>
          </cell>
          <cell r="G116">
            <v>2.3565880300000002</v>
          </cell>
          <cell r="H116">
            <v>2.3574175899999998</v>
          </cell>
          <cell r="I116">
            <v>2.3589251</v>
          </cell>
          <cell r="J116"/>
          <cell r="K116"/>
        </row>
        <row r="117"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 t="str">
            <v>Títulos Provinciales Tamar</v>
          </cell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</row>
        <row r="120">
          <cell r="B120" t="str">
            <v>CO2D7</v>
          </cell>
          <cell r="C120">
            <v>1.00682308</v>
          </cell>
          <cell r="D120">
            <v>1.011112</v>
          </cell>
          <cell r="E120">
            <v>1.0042496999999999</v>
          </cell>
          <cell r="F120">
            <v>1.0018229299999999</v>
          </cell>
          <cell r="G120">
            <v>1.0054575299999999</v>
          </cell>
          <cell r="H120">
            <v>1.0074071899999999</v>
          </cell>
          <cell r="I120">
            <v>1.0132234899999999</v>
          </cell>
          <cell r="J120"/>
          <cell r="K120"/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 t="str">
            <v>Títulos Provinciales Hard USD</v>
          </cell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</row>
        <row r="124">
          <cell r="B124" t="str">
            <v>SJO5D</v>
          </cell>
          <cell r="C124">
            <v>1.0218382500000001</v>
          </cell>
          <cell r="D124">
            <v>1.0340084899999999</v>
          </cell>
          <cell r="E124">
            <v>1.0389999999999999</v>
          </cell>
          <cell r="F124">
            <v>1.0365</v>
          </cell>
          <cell r="G124">
            <v>1.03634497</v>
          </cell>
          <cell r="H124">
            <v>1.03595536</v>
          </cell>
          <cell r="I124">
            <v>1.0355170199999999</v>
          </cell>
          <cell r="J124"/>
          <cell r="K124"/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 t="str">
            <v>Títulos Provinciales Hard USD - Contra $</v>
          </cell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</row>
        <row r="128">
          <cell r="B128" t="str">
            <v>SJO35</v>
          </cell>
          <cell r="C128">
            <v>1589.6180757499999</v>
          </cell>
          <cell r="D128">
            <v>1589.1344104899999</v>
          </cell>
          <cell r="E128">
            <v>1591.1037980999999</v>
          </cell>
          <cell r="F128">
            <v>1592.1</v>
          </cell>
          <cell r="G128">
            <v>1592.02612417</v>
          </cell>
          <cell r="H128">
            <v>1603.0854982799999</v>
          </cell>
          <cell r="I128">
            <v>1602.6</v>
          </cell>
          <cell r="J128"/>
          <cell r="K128"/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 t="str">
            <v>Obligaciones Negociables Badlar</v>
          </cell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</row>
        <row r="132">
          <cell r="B132" t="str">
            <v>CH9BO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/>
          <cell r="K132"/>
        </row>
        <row r="133">
          <cell r="B133" t="str">
            <v>DRSEO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/>
          <cell r="K133"/>
        </row>
        <row r="134">
          <cell r="B134" t="str">
            <v>DRDCO</v>
          </cell>
          <cell r="C134">
            <v>1.0000000000000001E-9</v>
          </cell>
          <cell r="D134">
            <v>1.0000000000000001E-9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/>
          <cell r="K134"/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 t="str">
            <v>Obligaciones Negociables Tamar</v>
          </cell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</row>
        <row r="138">
          <cell r="B138" t="str">
            <v>IP11P</v>
          </cell>
          <cell r="C138">
            <v>0.72347819999999996</v>
          </cell>
          <cell r="D138">
            <v>0.72350983999999996</v>
          </cell>
          <cell r="E138">
            <v>0.72354353999999999</v>
          </cell>
          <cell r="F138">
            <v>0.72539081999999999</v>
          </cell>
          <cell r="G138">
            <v>0.7248464</v>
          </cell>
          <cell r="H138">
            <v>0.72521009000000003</v>
          </cell>
          <cell r="I138">
            <v>0.72579167</v>
          </cell>
          <cell r="J138"/>
          <cell r="K138"/>
        </row>
        <row r="139">
          <cell r="B139" t="str">
            <v>LMS1P</v>
          </cell>
          <cell r="C139">
            <v>0.52572383</v>
          </cell>
          <cell r="D139">
            <v>0.52565543000000003</v>
          </cell>
          <cell r="E139">
            <v>0.52558945999999995</v>
          </cell>
          <cell r="F139">
            <v>0.52710683999999997</v>
          </cell>
          <cell r="G139">
            <v>0.52641916</v>
          </cell>
          <cell r="H139">
            <v>0.52666712999999998</v>
          </cell>
          <cell r="I139">
            <v>0.52713072999999999</v>
          </cell>
          <cell r="J139"/>
          <cell r="K139"/>
        </row>
        <row r="140">
          <cell r="B140" t="str">
            <v>PES1L</v>
          </cell>
          <cell r="C140">
            <v>0.75859759000000004</v>
          </cell>
          <cell r="D140">
            <v>0.75848504000000005</v>
          </cell>
          <cell r="E140">
            <v>0.75841413000000002</v>
          </cell>
          <cell r="F140">
            <v>0.76078657999999999</v>
          </cell>
          <cell r="G140">
            <v>0.75923313000000003</v>
          </cell>
          <cell r="H140">
            <v>0.75964491999999995</v>
          </cell>
          <cell r="I140">
            <v>0.76033709000000005</v>
          </cell>
          <cell r="J140"/>
          <cell r="K140"/>
        </row>
        <row r="141">
          <cell r="B141" t="str">
            <v>FSS1L</v>
          </cell>
          <cell r="C141">
            <v>0.79584991999999999</v>
          </cell>
          <cell r="D141">
            <v>0.79578269999999995</v>
          </cell>
          <cell r="E141">
            <v>0.79576190999999996</v>
          </cell>
          <cell r="F141">
            <v>0.79822181000000003</v>
          </cell>
          <cell r="G141">
            <v>0.79655374000000001</v>
          </cell>
          <cell r="H141">
            <v>0.79700146999999999</v>
          </cell>
          <cell r="I141">
            <v>0.79770914999999998</v>
          </cell>
          <cell r="J141"/>
          <cell r="K141"/>
        </row>
        <row r="142">
          <cell r="B142" t="str">
            <v>DJS1L</v>
          </cell>
          <cell r="C142">
            <v>0.77332666999999999</v>
          </cell>
          <cell r="D142">
            <v>0.77325524999999995</v>
          </cell>
          <cell r="E142">
            <v>0.77325999000000001</v>
          </cell>
          <cell r="F142">
            <v>0.77590689999999995</v>
          </cell>
          <cell r="G142">
            <v>0.77356179000000003</v>
          </cell>
          <cell r="H142">
            <v>0.77404083000000001</v>
          </cell>
          <cell r="I142">
            <v>0.77474957</v>
          </cell>
          <cell r="J142"/>
          <cell r="K142"/>
        </row>
        <row r="143">
          <cell r="B143" t="str">
            <v>CZ11L</v>
          </cell>
          <cell r="C143">
            <v>1.0553835</v>
          </cell>
          <cell r="D143">
            <v>1.05528574</v>
          </cell>
          <cell r="E143">
            <v>1.0552803500000001</v>
          </cell>
          <cell r="F143">
            <v>1.0588335099999999</v>
          </cell>
          <cell r="G143">
            <v>1.0557977000000001</v>
          </cell>
          <cell r="H143">
            <v>1.0564358199999999</v>
          </cell>
          <cell r="I143">
            <v>1.0574014899999999</v>
          </cell>
          <cell r="J143"/>
          <cell r="K143"/>
        </row>
        <row r="144">
          <cell r="B144" t="str">
            <v>AKS1L</v>
          </cell>
          <cell r="C144">
            <v>1.03270832</v>
          </cell>
          <cell r="D144">
            <v>1.03269403</v>
          </cell>
          <cell r="E144">
            <v>1.0328490699999999</v>
          </cell>
          <cell r="F144">
            <v>1.0365567</v>
          </cell>
          <cell r="G144">
            <v>1.03261969</v>
          </cell>
          <cell r="H144">
            <v>1.0333768999999999</v>
          </cell>
          <cell r="I144">
            <v>1.03431655</v>
          </cell>
          <cell r="J144"/>
          <cell r="K144"/>
        </row>
        <row r="145">
          <cell r="B145" t="str">
            <v>SQS1L</v>
          </cell>
          <cell r="C145">
            <v>1.0404317000000001</v>
          </cell>
          <cell r="D145">
            <v>1.04066057</v>
          </cell>
          <cell r="E145">
            <v>1.0409950400000001</v>
          </cell>
          <cell r="F145">
            <v>1.0447749799999999</v>
          </cell>
          <cell r="G145">
            <v>1.04042173</v>
          </cell>
          <cell r="H145">
            <v>1.0411433400000001</v>
          </cell>
          <cell r="I145">
            <v>1.04199723</v>
          </cell>
          <cell r="J145"/>
          <cell r="K145"/>
        </row>
        <row r="146">
          <cell r="B146" t="str">
            <v>CHS1L</v>
          </cell>
          <cell r="C146">
            <v>1.0380264100000001</v>
          </cell>
          <cell r="D146">
            <v>1.0385156</v>
          </cell>
          <cell r="E146">
            <v>1.0391166999999999</v>
          </cell>
          <cell r="F146">
            <v>1.04295012</v>
          </cell>
          <cell r="G146">
            <v>1.0379155</v>
          </cell>
          <cell r="H146">
            <v>1.03869111</v>
          </cell>
          <cell r="I146">
            <v>1.03946871</v>
          </cell>
          <cell r="J146"/>
          <cell r="K146"/>
        </row>
        <row r="147">
          <cell r="B147" t="str">
            <v>GES2L</v>
          </cell>
          <cell r="C147">
            <v>1.01313042</v>
          </cell>
          <cell r="D147">
            <v>1.0138199000000001</v>
          </cell>
          <cell r="E147">
            <v>1.01455333</v>
          </cell>
          <cell r="F147">
            <v>1.0184451999999999</v>
          </cell>
          <cell r="G147">
            <v>1.0128592000000001</v>
          </cell>
          <cell r="H147">
            <v>1.0135879999999999</v>
          </cell>
          <cell r="I147">
            <v>1.01427277</v>
          </cell>
          <cell r="J147"/>
          <cell r="K147"/>
        </row>
        <row r="148">
          <cell r="B148" t="str">
            <v>AKS2L</v>
          </cell>
          <cell r="C148">
            <v>1.0210932500000001</v>
          </cell>
          <cell r="D148">
            <v>1.02183008</v>
          </cell>
          <cell r="E148">
            <v>1.0225688900000001</v>
          </cell>
          <cell r="F148">
            <v>1.0265210899999999</v>
          </cell>
          <cell r="G148">
            <v>1.0207893299999999</v>
          </cell>
          <cell r="H148">
            <v>1.02147864</v>
          </cell>
          <cell r="I148">
            <v>1.0221611100000001</v>
          </cell>
          <cell r="J148"/>
          <cell r="K148"/>
        </row>
        <row r="149">
          <cell r="B149" t="str">
            <v>SXC5O</v>
          </cell>
          <cell r="C149">
            <v>1.0416804399999999</v>
          </cell>
          <cell r="D149">
            <v>1.04211338</v>
          </cell>
          <cell r="E149">
            <v>1.0427256</v>
          </cell>
          <cell r="F149">
            <v>1.04508752</v>
          </cell>
          <cell r="G149">
            <v>1.04565635</v>
          </cell>
          <cell r="H149">
            <v>1.0463433600000001</v>
          </cell>
          <cell r="I149">
            <v>1.04716784</v>
          </cell>
          <cell r="J149"/>
          <cell r="K149"/>
        </row>
        <row r="150">
          <cell r="B150" t="str">
            <v>BF38O</v>
          </cell>
          <cell r="C150">
            <v>1.0427479399999999</v>
          </cell>
          <cell r="D150">
            <v>1.0431640799999999</v>
          </cell>
          <cell r="E150">
            <v>1.0437741599999999</v>
          </cell>
          <cell r="F150">
            <v>1.04614922</v>
          </cell>
          <cell r="G150">
            <v>1.0467120999999999</v>
          </cell>
          <cell r="H150">
            <v>1.04740017</v>
          </cell>
          <cell r="I150">
            <v>1.04823183</v>
          </cell>
          <cell r="J150"/>
          <cell r="K150"/>
        </row>
        <row r="151">
          <cell r="B151" t="str">
            <v>RC3CO</v>
          </cell>
          <cell r="C151">
            <v>1.0229330299999999</v>
          </cell>
          <cell r="D151">
            <v>1.0231831199999999</v>
          </cell>
          <cell r="E151">
            <v>1.0237667399999999</v>
          </cell>
          <cell r="F151">
            <v>1.02617626</v>
          </cell>
          <cell r="G151">
            <v>1.0266301200000001</v>
          </cell>
          <cell r="H151">
            <v>1.02728654</v>
          </cell>
          <cell r="I151">
            <v>1.02817599</v>
          </cell>
          <cell r="J151"/>
          <cell r="K151"/>
        </row>
        <row r="152">
          <cell r="B152" t="str">
            <v>SXC3O</v>
          </cell>
          <cell r="C152">
            <v>1.0418843600000001</v>
          </cell>
          <cell r="D152">
            <v>1.0418474499999999</v>
          </cell>
          <cell r="E152">
            <v>1.0426073899999999</v>
          </cell>
          <cell r="F152">
            <v>1.04507686</v>
          </cell>
          <cell r="G152">
            <v>1.0454507500000001</v>
          </cell>
          <cell r="H152">
            <v>1.04620096</v>
          </cell>
          <cell r="I152">
            <v>1.0472319000000001</v>
          </cell>
          <cell r="J152"/>
          <cell r="K152"/>
        </row>
        <row r="153">
          <cell r="B153" t="str">
            <v>RC4CO</v>
          </cell>
          <cell r="C153">
            <v>1.0399309699999999</v>
          </cell>
          <cell r="D153">
            <v>1.0398908</v>
          </cell>
          <cell r="E153">
            <v>1.0406574900000001</v>
          </cell>
          <cell r="F153">
            <v>1.04311697</v>
          </cell>
          <cell r="G153">
            <v>1.0434868399999999</v>
          </cell>
          <cell r="H153">
            <v>1.0442368399999999</v>
          </cell>
          <cell r="I153">
            <v>1.04526896</v>
          </cell>
          <cell r="J153"/>
          <cell r="K153"/>
        </row>
        <row r="154">
          <cell r="B154" t="str">
            <v>BF41O</v>
          </cell>
          <cell r="C154">
            <v>1.0326270399999999</v>
          </cell>
          <cell r="D154">
            <v>1.03256036</v>
          </cell>
          <cell r="E154">
            <v>1.0333524999999999</v>
          </cell>
          <cell r="F154">
            <v>1.0357871299999999</v>
          </cell>
          <cell r="G154">
            <v>1.03615656</v>
          </cell>
          <cell r="H154">
            <v>1.0369198900000001</v>
          </cell>
          <cell r="I154">
            <v>1.0379537700000001</v>
          </cell>
          <cell r="J154"/>
          <cell r="K154"/>
        </row>
        <row r="155">
          <cell r="B155" t="str">
            <v>ICC5O</v>
          </cell>
          <cell r="C155">
            <v>1.02720042</v>
          </cell>
          <cell r="D155">
            <v>1.0249474700000001</v>
          </cell>
          <cell r="E155">
            <v>1.0276000000000001</v>
          </cell>
          <cell r="F155">
            <v>1.0298</v>
          </cell>
          <cell r="G155">
            <v>1.0298</v>
          </cell>
          <cell r="H155">
            <v>1.0314787700000001</v>
          </cell>
          <cell r="I155">
            <v>1.0325156799999999</v>
          </cell>
          <cell r="J155"/>
          <cell r="K155"/>
        </row>
        <row r="156">
          <cell r="B156" t="str">
            <v>BNCXO</v>
          </cell>
          <cell r="C156">
            <v>1.0585499</v>
          </cell>
          <cell r="D156">
            <v>1.05843607</v>
          </cell>
          <cell r="E156">
            <v>1.0595428499999999</v>
          </cell>
          <cell r="F156">
            <v>1.0618552000000001</v>
          </cell>
          <cell r="G156">
            <v>1.06227867</v>
          </cell>
          <cell r="H156">
            <v>1.06318764</v>
          </cell>
          <cell r="I156">
            <v>1.0642838299999999</v>
          </cell>
          <cell r="J156"/>
          <cell r="K156"/>
        </row>
        <row r="157">
          <cell r="B157" t="str">
            <v>NZC1O</v>
          </cell>
          <cell r="C157">
            <v>1.05490405</v>
          </cell>
          <cell r="D157">
            <v>1.05477927</v>
          </cell>
          <cell r="E157">
            <v>1.0559662299999999</v>
          </cell>
          <cell r="F157">
            <v>1.0582192100000001</v>
          </cell>
          <cell r="G157">
            <v>1.0586518199999999</v>
          </cell>
          <cell r="H157">
            <v>1.0595915600000001</v>
          </cell>
          <cell r="I157">
            <v>1.0603</v>
          </cell>
          <cell r="J157"/>
          <cell r="K157"/>
        </row>
        <row r="158">
          <cell r="B158" t="str">
            <v>SXC6O</v>
          </cell>
          <cell r="C158">
            <v>1.0409401199999999</v>
          </cell>
          <cell r="D158">
            <v>1.0408089199999999</v>
          </cell>
          <cell r="E158">
            <v>1.04203168</v>
          </cell>
          <cell r="F158">
            <v>1.04422477</v>
          </cell>
          <cell r="G158">
            <v>1.04466057</v>
          </cell>
          <cell r="H158">
            <v>1.0456105600000001</v>
          </cell>
          <cell r="I158">
            <v>1.0466868</v>
          </cell>
          <cell r="J158"/>
          <cell r="K158"/>
        </row>
        <row r="159">
          <cell r="B159" t="str">
            <v>BF46O</v>
          </cell>
          <cell r="C159">
            <v>1.0401907500000001</v>
          </cell>
          <cell r="D159">
            <v>1.0400550900000001</v>
          </cell>
          <cell r="E159">
            <v>1.04129808</v>
          </cell>
          <cell r="F159">
            <v>1.0434783599999999</v>
          </cell>
          <cell r="G159">
            <v>1.04391839</v>
          </cell>
          <cell r="H159">
            <v>1.0448779500000001</v>
          </cell>
          <cell r="I159">
            <v>1.0459547199999999</v>
          </cell>
          <cell r="J159"/>
          <cell r="K159"/>
        </row>
        <row r="160">
          <cell r="B160" t="str">
            <v>ICC7O</v>
          </cell>
          <cell r="C160">
            <v>1.0188102699999999</v>
          </cell>
          <cell r="D160">
            <v>1.0186833900000001</v>
          </cell>
          <cell r="E160">
            <v>1.0201025399999999</v>
          </cell>
          <cell r="F160">
            <v>1.0221022900000001</v>
          </cell>
          <cell r="G160">
            <v>1.0225680399999999</v>
          </cell>
          <cell r="H160">
            <v>1.02358441</v>
          </cell>
          <cell r="I160">
            <v>1.0246410699999999</v>
          </cell>
          <cell r="J160"/>
          <cell r="K160"/>
        </row>
        <row r="161">
          <cell r="B161" t="str">
            <v>BNCYO</v>
          </cell>
          <cell r="C161">
            <v>1.01419393</v>
          </cell>
          <cell r="D161">
            <v>1.01407077</v>
          </cell>
          <cell r="E161">
            <v>1.01553128</v>
          </cell>
          <cell r="F161">
            <v>1.0174897199999999</v>
          </cell>
          <cell r="G161">
            <v>1.0179630500000001</v>
          </cell>
          <cell r="H161">
            <v>1.0189932900000001</v>
          </cell>
          <cell r="I161">
            <v>1.0200445499999999</v>
          </cell>
          <cell r="J161"/>
          <cell r="K161"/>
        </row>
        <row r="162">
          <cell r="B162" t="str">
            <v>BYY1O</v>
          </cell>
          <cell r="C162">
            <v>1.02799375</v>
          </cell>
          <cell r="D162">
            <v>1.02785967</v>
          </cell>
          <cell r="E162">
            <v>1.0292133800000001</v>
          </cell>
          <cell r="F162">
            <v>1.03128552</v>
          </cell>
          <cell r="G162">
            <v>1.0317423999999999</v>
          </cell>
          <cell r="H162">
            <v>1.03273975</v>
          </cell>
          <cell r="I162">
            <v>1.03380619</v>
          </cell>
          <cell r="J162"/>
          <cell r="K162"/>
        </row>
        <row r="163">
          <cell r="B163" t="str">
            <v>BF47O</v>
          </cell>
          <cell r="C163">
            <v>1.0242925300000001</v>
          </cell>
          <cell r="D163">
            <v>1.0241639899999999</v>
          </cell>
          <cell r="E163">
            <v>1.02553563</v>
          </cell>
          <cell r="F163">
            <v>1.02758186</v>
          </cell>
          <cell r="G163">
            <v>1.028038</v>
          </cell>
          <cell r="H163">
            <v>1.0290370600000001</v>
          </cell>
          <cell r="I163">
            <v>1.03009971</v>
          </cell>
          <cell r="J163"/>
          <cell r="K163"/>
        </row>
        <row r="164">
          <cell r="B164" t="str">
            <v>NZC4O</v>
          </cell>
          <cell r="C164">
            <v>0.99809844000000003</v>
          </cell>
          <cell r="D164">
            <v>0.99909999999999999</v>
          </cell>
          <cell r="E164">
            <v>0.99960552000000003</v>
          </cell>
          <cell r="F164">
            <v>1.002</v>
          </cell>
          <cell r="G164">
            <v>1.0019171899999999</v>
          </cell>
          <cell r="H164">
            <v>1.0029964099999999</v>
          </cell>
          <cell r="I164">
            <v>1.0058</v>
          </cell>
          <cell r="J164"/>
          <cell r="K164"/>
        </row>
        <row r="165">
          <cell r="B165" t="str">
            <v>SXC8O</v>
          </cell>
          <cell r="C165">
            <v>1.04262736</v>
          </cell>
          <cell r="D165">
            <v>1.04262557</v>
          </cell>
          <cell r="E165">
            <v>1.0445905</v>
          </cell>
          <cell r="F165">
            <v>1.0462603100000001</v>
          </cell>
          <cell r="G165">
            <v>1.0468617099999999</v>
          </cell>
          <cell r="H165">
            <v>1.04808196</v>
          </cell>
          <cell r="I165">
            <v>1.0491191</v>
          </cell>
          <cell r="J165"/>
          <cell r="K165"/>
        </row>
        <row r="166">
          <cell r="B166" t="str">
            <v>PWC1O</v>
          </cell>
          <cell r="C166">
            <v>1.0206278499999999</v>
          </cell>
          <cell r="D166">
            <v>1.02066981</v>
          </cell>
          <cell r="E166">
            <v>1.0228161899999999</v>
          </cell>
          <cell r="F166">
            <v>1.0254000000000001</v>
          </cell>
          <cell r="G166">
            <v>1.0249362200000001</v>
          </cell>
          <cell r="H166">
            <v>1.02620775</v>
          </cell>
          <cell r="I166">
            <v>1.02720604</v>
          </cell>
          <cell r="J166"/>
          <cell r="K166"/>
        </row>
        <row r="167">
          <cell r="B167" t="str">
            <v>T661O</v>
          </cell>
          <cell r="C167">
            <v>1.0376017399999999</v>
          </cell>
          <cell r="D167">
            <v>1.03810056</v>
          </cell>
          <cell r="E167">
            <v>1.0384274099999999</v>
          </cell>
          <cell r="F167">
            <v>1.0409014700000001</v>
          </cell>
          <cell r="G167">
            <v>1.0415809899999999</v>
          </cell>
          <cell r="H167">
            <v>1.0421946900000001</v>
          </cell>
          <cell r="I167">
            <v>1.0467</v>
          </cell>
          <cell r="J167"/>
          <cell r="K167"/>
        </row>
        <row r="168">
          <cell r="B168" t="str">
            <v>PS35O</v>
          </cell>
          <cell r="C168">
            <v>1.0218905899999999</v>
          </cell>
          <cell r="D168">
            <v>1.0223061499999999</v>
          </cell>
          <cell r="E168">
            <v>1.0225028300000001</v>
          </cell>
          <cell r="F168">
            <v>1.02502596</v>
          </cell>
          <cell r="G168">
            <v>1.0257151200000001</v>
          </cell>
          <cell r="H168">
            <v>1.02629226</v>
          </cell>
          <cell r="I168">
            <v>1.0271059499999999</v>
          </cell>
          <cell r="J168"/>
          <cell r="K168"/>
        </row>
        <row r="169">
          <cell r="B169" t="str">
            <v>T671O</v>
          </cell>
          <cell r="C169">
            <v>1.0462758299999999</v>
          </cell>
          <cell r="D169">
            <v>1.0467737100000001</v>
          </cell>
          <cell r="E169">
            <v>1.0468067700000001</v>
          </cell>
          <cell r="F169">
            <v>1.04922439</v>
          </cell>
          <cell r="G169">
            <v>1.0504493399999999</v>
          </cell>
          <cell r="H169">
            <v>1.0511174400000001</v>
          </cell>
          <cell r="I169">
            <v>1.0518825999999999</v>
          </cell>
          <cell r="J169"/>
          <cell r="K169"/>
        </row>
        <row r="170">
          <cell r="B170" t="str">
            <v>PVC6O</v>
          </cell>
          <cell r="C170">
            <v>1.0291127200000001</v>
          </cell>
          <cell r="D170">
            <v>1.0296504200000001</v>
          </cell>
          <cell r="E170">
            <v>1.0297029099999999</v>
          </cell>
          <cell r="F170">
            <v>1.0320201499999999</v>
          </cell>
          <cell r="G170">
            <v>1.03330031</v>
          </cell>
          <cell r="H170">
            <v>1.03397513</v>
          </cell>
          <cell r="I170">
            <v>1.03470554</v>
          </cell>
          <cell r="J170"/>
          <cell r="K170"/>
        </row>
        <row r="171">
          <cell r="B171" t="str">
            <v>DHSLO</v>
          </cell>
          <cell r="C171">
            <v>1.0337551899999999</v>
          </cell>
          <cell r="D171">
            <v>1.0343106</v>
          </cell>
          <cell r="E171">
            <v>1.0355306799999999</v>
          </cell>
          <cell r="F171">
            <v>1.0377476800000001</v>
          </cell>
          <cell r="G171">
            <v>1.0386238800000001</v>
          </cell>
          <cell r="H171">
            <v>1.03934097</v>
          </cell>
          <cell r="I171">
            <v>1.0401437200000001</v>
          </cell>
          <cell r="J171"/>
          <cell r="K171"/>
        </row>
        <row r="172">
          <cell r="B172" t="str">
            <v>DEC3O</v>
          </cell>
          <cell r="C172">
            <v>1.00978598</v>
          </cell>
          <cell r="D172">
            <v>1.0104558699999999</v>
          </cell>
          <cell r="E172">
            <v>1.0119178799999999</v>
          </cell>
          <cell r="F172">
            <v>1.01386971</v>
          </cell>
          <cell r="G172">
            <v>1.0148490699999999</v>
          </cell>
          <cell r="H172">
            <v>1.0156047800000001</v>
          </cell>
          <cell r="I172">
            <v>1.0163267499999999</v>
          </cell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 t="str">
            <v>Obligaciones Negociables Tasa Fija - Tamar</v>
          </cell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 t="str">
            <v>DHSNO</v>
          </cell>
          <cell r="C176">
            <v>1.04151094</v>
          </cell>
          <cell r="D176">
            <v>1.0423825200000001</v>
          </cell>
          <cell r="E176">
            <v>1.044184</v>
          </cell>
          <cell r="F176">
            <v>1.0459506700000001</v>
          </cell>
          <cell r="G176">
            <v>1.0470983199999999</v>
          </cell>
          <cell r="H176">
            <v>1.04794593</v>
          </cell>
          <cell r="I176">
            <v>1.04860872</v>
          </cell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 t="str">
            <v>Obligaciones Negociables UVA</v>
          </cell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</row>
        <row r="180">
          <cell r="B180" t="str">
            <v>NZC3O</v>
          </cell>
          <cell r="C180">
            <v>2116.3930080199998</v>
          </cell>
          <cell r="D180">
            <v>2113.8288562500002</v>
          </cell>
          <cell r="E180">
            <v>2118.5280772699998</v>
          </cell>
          <cell r="F180">
            <v>2121.5238482999998</v>
          </cell>
          <cell r="G180">
            <v>2126.46305231</v>
          </cell>
          <cell r="H180">
            <v>2128.99918183</v>
          </cell>
          <cell r="I180">
            <v>2131.8126235999998</v>
          </cell>
          <cell r="J180"/>
          <cell r="K180"/>
        </row>
        <row r="181">
          <cell r="B181" t="str">
            <v>COC5O</v>
          </cell>
          <cell r="C181">
            <v>2141.0043724500001</v>
          </cell>
          <cell r="D181">
            <v>2140.5396022999998</v>
          </cell>
          <cell r="E181">
            <v>2146.28289739</v>
          </cell>
          <cell r="F181">
            <v>2149.3259518099999</v>
          </cell>
          <cell r="G181">
            <v>2154.7996356600001</v>
          </cell>
          <cell r="H181">
            <v>2155.6484827700001</v>
          </cell>
          <cell r="I181">
            <v>2159.3362366800002</v>
          </cell>
          <cell r="J181"/>
          <cell r="K181"/>
        </row>
        <row r="182">
          <cell r="B182" t="str">
            <v>SNSDP</v>
          </cell>
          <cell r="C182">
            <v>728.29265477000001</v>
          </cell>
          <cell r="D182">
            <v>728.78515178999999</v>
          </cell>
          <cell r="E182">
            <v>729.26271441999995</v>
          </cell>
          <cell r="F182">
            <v>729.89396164000004</v>
          </cell>
          <cell r="G182">
            <v>730.44239306999998</v>
          </cell>
          <cell r="H182">
            <v>732.14212930999997</v>
          </cell>
          <cell r="I182">
            <v>732.58115440999995</v>
          </cell>
          <cell r="J182"/>
          <cell r="K182"/>
        </row>
        <row r="183"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 t="str">
            <v>Obligaciones Negociables Hard USD - LA</v>
          </cell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</row>
        <row r="186">
          <cell r="B186" t="str">
            <v>VE2LD</v>
          </cell>
          <cell r="C186">
            <v>0.99514579999999997</v>
          </cell>
          <cell r="D186">
            <v>0.99501465</v>
          </cell>
          <cell r="E186">
            <v>0.99539613999999998</v>
          </cell>
          <cell r="F186">
            <v>0.99684158</v>
          </cell>
          <cell r="G186">
            <v>0.99599216000000002</v>
          </cell>
          <cell r="H186">
            <v>0.99661312999999996</v>
          </cell>
          <cell r="I186">
            <v>0.99459571999999996</v>
          </cell>
          <cell r="J186"/>
          <cell r="K186"/>
        </row>
        <row r="187">
          <cell r="B187" t="str">
            <v>NA1LD</v>
          </cell>
          <cell r="C187">
            <v>0.97171328999999995</v>
          </cell>
          <cell r="D187">
            <v>0.97134748000000004</v>
          </cell>
          <cell r="E187">
            <v>0.97145917000000004</v>
          </cell>
          <cell r="F187">
            <v>0.97331555999999997</v>
          </cell>
          <cell r="G187">
            <v>0.97254032000000001</v>
          </cell>
          <cell r="H187">
            <v>0.97315472999999997</v>
          </cell>
          <cell r="I187">
            <v>0.970916</v>
          </cell>
          <cell r="J187"/>
          <cell r="K187"/>
        </row>
        <row r="188">
          <cell r="B188" t="str">
            <v>OR1LD</v>
          </cell>
          <cell r="C188">
            <v>0.98406587999999995</v>
          </cell>
          <cell r="D188">
            <v>0.98376483000000003</v>
          </cell>
          <cell r="E188">
            <v>0.98370358000000002</v>
          </cell>
          <cell r="F188">
            <v>0.98546233000000005</v>
          </cell>
          <cell r="G188">
            <v>0.98491786999999997</v>
          </cell>
          <cell r="H188">
            <v>0.98541674000000001</v>
          </cell>
          <cell r="I188">
            <v>0.98335154000000002</v>
          </cell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>
            <v>1.0298449300000001</v>
          </cell>
          <cell r="I189">
            <v>1.034</v>
          </cell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>
            <v>1.02313495</v>
          </cell>
          <cell r="I190">
            <v>1.02313086</v>
          </cell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>
            <v>1.0036282299999999</v>
          </cell>
          <cell r="I191">
            <v>1.00365989</v>
          </cell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>
            <v>1.0184797000000001</v>
          </cell>
          <cell r="I192">
            <v>1.0235465100000001</v>
          </cell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>
            <v>1.0231621399999999</v>
          </cell>
          <cell r="I193">
            <v>1.0224098800000001</v>
          </cell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>
            <v>1.0432568600000001</v>
          </cell>
          <cell r="I194">
            <v>1.0420575700000001</v>
          </cell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>
            <v>1.04442784</v>
          </cell>
          <cell r="I195">
            <v>1.02071768</v>
          </cell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>
            <v>1.00153783</v>
          </cell>
          <cell r="I196">
            <v>1.0002198099999999</v>
          </cell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>
            <v>1.0318191299999999</v>
          </cell>
          <cell r="I197">
            <v>1.0304092300000001</v>
          </cell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>
            <v>1.0147685099999999</v>
          </cell>
          <cell r="I198">
            <v>1.0132486999999999</v>
          </cell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>
            <v>1.00980103</v>
          </cell>
          <cell r="I199">
            <v>1.0080507000000001</v>
          </cell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>
            <v>1.02176494</v>
          </cell>
          <cell r="I200">
            <v>1.01984476</v>
          </cell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>
            <v>1.0309501700000001</v>
          </cell>
          <cell r="I201">
            <v>1.02900003</v>
          </cell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>
            <v>1.0452104099999999</v>
          </cell>
          <cell r="I202">
            <v>1.0426503899999999</v>
          </cell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>
            <v>1.04974926</v>
          </cell>
          <cell r="I203">
            <v>1.04672505</v>
          </cell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>
            <v>1.0227596800000001</v>
          </cell>
          <cell r="I204">
            <v>1.01977213</v>
          </cell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>
            <v>1.05154569</v>
          </cell>
          <cell r="I205">
            <v>1.0483145899999999</v>
          </cell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>
            <v>1.0678835600000001</v>
          </cell>
          <cell r="I206">
            <v>1.06449729</v>
          </cell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>
            <v>1.0186890500000001</v>
          </cell>
          <cell r="I207">
            <v>1.0200000499999999</v>
          </cell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>
            <v>1.0120206199999999</v>
          </cell>
          <cell r="I208">
            <v>1.00885077</v>
          </cell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>
            <v>1.0440526299999999</v>
          </cell>
          <cell r="I209">
            <v>1.04091304</v>
          </cell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>
            <v>1.0328472099999999</v>
          </cell>
          <cell r="I210">
            <v>1.02980095</v>
          </cell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>
            <v>1.0539998900000001</v>
          </cell>
          <cell r="I211">
            <v>1.0579604300000001</v>
          </cell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>
            <v>1.0474964200000001</v>
          </cell>
          <cell r="I212">
            <v>1.0475329200000001</v>
          </cell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>
            <v>1.0266827300000001</v>
          </cell>
          <cell r="I213">
            <v>1.02396932</v>
          </cell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>
            <v>1.0693014599999999</v>
          </cell>
          <cell r="I214">
            <v>1.0671648499999999</v>
          </cell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>
            <v>1.0083714699999999</v>
          </cell>
          <cell r="I215">
            <v>1.0085868899999999</v>
          </cell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>
            <v>1.06868612</v>
          </cell>
          <cell r="I216">
            <v>1.06545702</v>
          </cell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>
            <v>1.0605466400000001</v>
          </cell>
          <cell r="I217">
            <v>1.04999485</v>
          </cell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>
            <v>1.02305286</v>
          </cell>
          <cell r="I218">
            <v>1.0232713099999999</v>
          </cell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>
            <v>0.99786176999999998</v>
          </cell>
          <cell r="I219">
            <v>0.99789826000000004</v>
          </cell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>
            <v>1.01863572</v>
          </cell>
          <cell r="I220">
            <v>1.0180300600000001</v>
          </cell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>
            <v>1.0114374399999999</v>
          </cell>
          <cell r="I221">
            <v>1.0103567</v>
          </cell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>
            <v>9.9999999999999995E-8</v>
          </cell>
          <cell r="I222">
            <v>9.9999999999999995E-8</v>
          </cell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>
            <v>1569.33062559</v>
          </cell>
          <cell r="I226">
            <v>1575.80929756</v>
          </cell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>
            <v>1537.4229000800001</v>
          </cell>
          <cell r="I227">
            <v>1543.19189151</v>
          </cell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>
            <v>1559.3072738000001</v>
          </cell>
          <cell r="I228">
            <v>1564.5936110499999</v>
          </cell>
          <cell r="J228"/>
          <cell r="K228"/>
        </row>
        <row r="229">
          <cell r="B229" t="str">
            <v>BYCWO</v>
          </cell>
          <cell r="C229">
            <v>1590</v>
          </cell>
          <cell r="D229">
            <v>1593</v>
          </cell>
          <cell r="E229">
            <v>1576.06733891</v>
          </cell>
          <cell r="F229">
            <v>1589</v>
          </cell>
          <cell r="G229">
            <v>1589.22083576</v>
          </cell>
          <cell r="H229">
            <v>1592</v>
          </cell>
          <cell r="I229">
            <v>1597</v>
          </cell>
          <cell r="J229"/>
          <cell r="K229"/>
        </row>
        <row r="230">
          <cell r="B230" t="str">
            <v>BYCXO</v>
          </cell>
          <cell r="C230">
            <v>1575.6165328300001</v>
          </cell>
          <cell r="D230">
            <v>1573.7283206100001</v>
          </cell>
          <cell r="E230">
            <v>1564.8672031200001</v>
          </cell>
          <cell r="F230">
            <v>1579.01579515</v>
          </cell>
          <cell r="G230">
            <v>1573.7681581500001</v>
          </cell>
          <cell r="H230">
            <v>1583.0591681000001</v>
          </cell>
          <cell r="I230">
            <v>1586.6583776099999</v>
          </cell>
          <cell r="J230"/>
          <cell r="K230"/>
        </row>
        <row r="231">
          <cell r="B231" t="str">
            <v>YM41O</v>
          </cell>
          <cell r="C231">
            <v>1543.58743314</v>
          </cell>
          <cell r="D231">
            <v>1542.1488781200001</v>
          </cell>
          <cell r="E231">
            <v>1533.02031771</v>
          </cell>
          <cell r="F231">
            <v>1538.8609294800001</v>
          </cell>
          <cell r="G231">
            <v>1542.2097403</v>
          </cell>
          <cell r="H231">
            <v>1549.28736768</v>
          </cell>
          <cell r="I231">
            <v>1555.4750862999999</v>
          </cell>
          <cell r="J231"/>
          <cell r="K231"/>
        </row>
        <row r="232">
          <cell r="B232" t="str">
            <v>YM37O</v>
          </cell>
          <cell r="C232">
            <v>1576.2065465000001</v>
          </cell>
          <cell r="D232">
            <v>1578.6353365699999</v>
          </cell>
          <cell r="E232">
            <v>1564.6174104500001</v>
          </cell>
          <cell r="F232">
            <v>1583.9415953499999</v>
          </cell>
          <cell r="G232">
            <v>1578.37015967</v>
          </cell>
          <cell r="H232">
            <v>1575.9184757</v>
          </cell>
          <cell r="I232">
            <v>1584.01079364</v>
          </cell>
          <cell r="J232"/>
          <cell r="K232"/>
        </row>
        <row r="233">
          <cell r="B233" t="str">
            <v>YFCMO</v>
          </cell>
          <cell r="C233">
            <v>1579.1791371899999</v>
          </cell>
          <cell r="D233">
            <v>1582.0127234700001</v>
          </cell>
          <cell r="E233">
            <v>1567.60753649</v>
          </cell>
          <cell r="F233">
            <v>1572.64249909</v>
          </cell>
          <cell r="G233">
            <v>1577.85656604</v>
          </cell>
          <cell r="H233">
            <v>1583.0537868399999</v>
          </cell>
          <cell r="I233">
            <v>1591.90251994</v>
          </cell>
          <cell r="J233"/>
          <cell r="K233"/>
        </row>
        <row r="234">
          <cell r="B234" t="str">
            <v>PFC2O</v>
          </cell>
          <cell r="C234">
            <v>1602.9202170200001</v>
          </cell>
          <cell r="D234">
            <v>1607.58785642</v>
          </cell>
          <cell r="E234">
            <v>1574</v>
          </cell>
          <cell r="F234">
            <v>1580.5</v>
          </cell>
          <cell r="G234">
            <v>1603.5864684999999</v>
          </cell>
          <cell r="H234">
            <v>1606.8799900199999</v>
          </cell>
          <cell r="I234">
            <v>1616.0624245700001</v>
          </cell>
          <cell r="J234"/>
          <cell r="K234"/>
        </row>
        <row r="235">
          <cell r="B235" t="str">
            <v>YM38O</v>
          </cell>
          <cell r="C235">
            <v>1613.6031400899999</v>
          </cell>
          <cell r="D235">
            <v>1618.30855948</v>
          </cell>
          <cell r="E235">
            <v>1602.95733984</v>
          </cell>
          <cell r="F235">
            <v>1607.4748752999999</v>
          </cell>
          <cell r="G235">
            <v>1614.3513699299999</v>
          </cell>
          <cell r="H235">
            <v>1617.3310423400001</v>
          </cell>
          <cell r="I235">
            <v>1582.2768475600001</v>
          </cell>
          <cell r="J235"/>
          <cell r="K235"/>
        </row>
        <row r="236">
          <cell r="B236" t="str">
            <v>BYZ1O</v>
          </cell>
          <cell r="C236">
            <v>1538.14060485</v>
          </cell>
          <cell r="D236">
            <v>1543.3297003</v>
          </cell>
          <cell r="E236">
            <v>1528.43342405</v>
          </cell>
          <cell r="F236">
            <v>1532.7186010800001</v>
          </cell>
          <cell r="G236">
            <v>1539.6795708899999</v>
          </cell>
          <cell r="H236">
            <v>1541.98831883</v>
          </cell>
          <cell r="I236">
            <v>1550.83332825</v>
          </cell>
          <cell r="J236"/>
          <cell r="K236"/>
        </row>
        <row r="237">
          <cell r="B237" t="str">
            <v>PN38O</v>
          </cell>
          <cell r="C237">
            <v>1584.4094779899999</v>
          </cell>
          <cell r="D237">
            <v>1589.9483668299999</v>
          </cell>
          <cell r="E237">
            <v>1574.64199263</v>
          </cell>
          <cell r="F237">
            <v>1579.0067168999999</v>
          </cell>
          <cell r="G237">
            <v>1586.35763221</v>
          </cell>
          <cell r="H237">
            <v>1588.42012617</v>
          </cell>
          <cell r="I237">
            <v>1597.4814378799999</v>
          </cell>
          <cell r="J237"/>
          <cell r="K237"/>
        </row>
        <row r="238">
          <cell r="B238" t="str">
            <v>BF40O</v>
          </cell>
          <cell r="C238">
            <v>1557.6550982199999</v>
          </cell>
          <cell r="D238">
            <v>1563.6383714399999</v>
          </cell>
          <cell r="E238">
            <v>1548.5510297599999</v>
          </cell>
          <cell r="F238">
            <v>1552.71943149</v>
          </cell>
          <cell r="G238">
            <v>1560.3906701799999</v>
          </cell>
          <cell r="H238">
            <v>1561.6727933</v>
          </cell>
          <cell r="I238">
            <v>1570.53691675</v>
          </cell>
          <cell r="J238"/>
          <cell r="K238"/>
        </row>
        <row r="239">
          <cell r="B239" t="str">
            <v>TTCBO</v>
          </cell>
          <cell r="C239">
            <v>1616.7872359099999</v>
          </cell>
          <cell r="D239">
            <v>1624.1603766600001</v>
          </cell>
          <cell r="E239">
            <v>1559.2390389699999</v>
          </cell>
          <cell r="F239">
            <v>1563.1560132</v>
          </cell>
          <cell r="G239">
            <v>1572.1317157999999</v>
          </cell>
          <cell r="H239">
            <v>1570.99530039</v>
          </cell>
          <cell r="I239">
            <v>1579.5454926699999</v>
          </cell>
          <cell r="J239"/>
          <cell r="K239"/>
        </row>
        <row r="240">
          <cell r="B240" t="str">
            <v>TTC8O</v>
          </cell>
          <cell r="C240">
            <v>1580.5696693800001</v>
          </cell>
          <cell r="D240">
            <v>1588.09962023</v>
          </cell>
          <cell r="E240">
            <v>1578</v>
          </cell>
          <cell r="F240">
            <v>1577.3489235100001</v>
          </cell>
          <cell r="G240">
            <v>1586.47960599</v>
          </cell>
          <cell r="H240">
            <v>1585.0989145999999</v>
          </cell>
          <cell r="I240">
            <v>1593.51709751</v>
          </cell>
          <cell r="J240"/>
          <cell r="K240"/>
        </row>
        <row r="241">
          <cell r="B241" t="str">
            <v>PLC1O</v>
          </cell>
          <cell r="C241">
            <v>1599.5166593199999</v>
          </cell>
          <cell r="D241">
            <v>1609.2516972999999</v>
          </cell>
          <cell r="E241">
            <v>1595.88845913</v>
          </cell>
          <cell r="F241">
            <v>1625.4002305399999</v>
          </cell>
          <cell r="G241">
            <v>1610.7136072599999</v>
          </cell>
          <cell r="H241">
            <v>1604.84797157</v>
          </cell>
          <cell r="I241">
            <v>1615.8903709199999</v>
          </cell>
          <cell r="J241"/>
          <cell r="K241"/>
        </row>
        <row r="242">
          <cell r="B242" t="str">
            <v>BF44O</v>
          </cell>
          <cell r="C242">
            <v>1562.48606786</v>
          </cell>
          <cell r="D242">
            <v>1573.8652325800001</v>
          </cell>
          <cell r="E242">
            <v>1563.09364822</v>
          </cell>
          <cell r="F242">
            <v>1568.16205582</v>
          </cell>
          <cell r="G242">
            <v>1579.0201237700001</v>
          </cell>
          <cell r="H242">
            <v>1568.4352509600001</v>
          </cell>
          <cell r="I242">
            <v>1574.06476301</v>
          </cell>
          <cell r="J242"/>
          <cell r="K242"/>
        </row>
        <row r="243">
          <cell r="B243" t="str">
            <v>YM40O</v>
          </cell>
          <cell r="C243">
            <v>1605.8938536799999</v>
          </cell>
          <cell r="D243">
            <v>1618.53126084</v>
          </cell>
          <cell r="E243">
            <v>1610.28299414</v>
          </cell>
          <cell r="F243">
            <v>1618.1269284499999</v>
          </cell>
          <cell r="G243">
            <v>1627.35966218</v>
          </cell>
          <cell r="H243">
            <v>1612.4304710900001</v>
          </cell>
          <cell r="I243">
            <v>1616.5752691099999</v>
          </cell>
          <cell r="J243"/>
          <cell r="K243"/>
        </row>
        <row r="244">
          <cell r="B244" t="str">
            <v>YMCZO</v>
          </cell>
          <cell r="C244">
            <v>1576.89196167</v>
          </cell>
          <cell r="D244">
            <v>1589.7948576199999</v>
          </cell>
          <cell r="E244">
            <v>1582.89006101</v>
          </cell>
          <cell r="F244">
            <v>1592.1373707600001</v>
          </cell>
          <cell r="G244">
            <v>1599.9198070800001</v>
          </cell>
          <cell r="H244">
            <v>1583.4004936599999</v>
          </cell>
          <cell r="I244">
            <v>1650.4</v>
          </cell>
          <cell r="J244"/>
          <cell r="K244"/>
        </row>
        <row r="245">
          <cell r="B245" t="str">
            <v>YMCYO</v>
          </cell>
          <cell r="C245">
            <v>1555.5539013099999</v>
          </cell>
          <cell r="D245">
            <v>1568.2006222099999</v>
          </cell>
          <cell r="E245">
            <v>1561.42868914</v>
          </cell>
          <cell r="F245">
            <v>1570.5712161700001</v>
          </cell>
          <cell r="G245">
            <v>1578.2348240199999</v>
          </cell>
          <cell r="H245">
            <v>1562.0629495799999</v>
          </cell>
          <cell r="I245">
            <v>1570.3352095400001</v>
          </cell>
          <cell r="J245"/>
          <cell r="K245"/>
        </row>
        <row r="246">
          <cell r="B246" t="str">
            <v>GN47O</v>
          </cell>
          <cell r="C246">
            <v>1590.3859474400001</v>
          </cell>
          <cell r="D246">
            <v>1603.01082253</v>
          </cell>
          <cell r="E246">
            <v>1596.4474352899999</v>
          </cell>
          <cell r="F246">
            <v>1559.7497114800001</v>
          </cell>
          <cell r="G246">
            <v>1567.1127671500001</v>
          </cell>
          <cell r="H246">
            <v>1550.50853712</v>
          </cell>
          <cell r="I246">
            <v>1553.68890566</v>
          </cell>
          <cell r="J246"/>
          <cell r="K246"/>
        </row>
        <row r="247">
          <cell r="B247" t="str">
            <v>YFCLO</v>
          </cell>
          <cell r="C247">
            <v>1584.15074018</v>
          </cell>
          <cell r="D247">
            <v>1596.8834261300001</v>
          </cell>
          <cell r="E247">
            <v>1591.1355220200001</v>
          </cell>
          <cell r="F247">
            <v>1602.05786872</v>
          </cell>
          <cell r="G247">
            <v>1608.07188754</v>
          </cell>
          <cell r="H247">
            <v>1590.68009418</v>
          </cell>
          <cell r="I247">
            <v>1593.5311444500001</v>
          </cell>
          <cell r="J247"/>
          <cell r="K247"/>
        </row>
        <row r="248">
          <cell r="B248" t="str">
            <v>YFCOO</v>
          </cell>
          <cell r="C248">
            <v>1577.3578955200001</v>
          </cell>
          <cell r="D248">
            <v>1590.06847911</v>
          </cell>
          <cell r="E248">
            <v>1584.95079403</v>
          </cell>
          <cell r="F248">
            <v>1596.86256263</v>
          </cell>
          <cell r="G248">
            <v>1601.76627558</v>
          </cell>
          <cell r="H248">
            <v>1583.8193451</v>
          </cell>
          <cell r="I248">
            <v>1586.3699328499999</v>
          </cell>
          <cell r="J248"/>
          <cell r="K248"/>
        </row>
        <row r="249">
          <cell r="B249" t="str">
            <v>PLC6O</v>
          </cell>
          <cell r="C249">
            <v>1619.9688255599999</v>
          </cell>
          <cell r="D249">
            <v>1632.26641307</v>
          </cell>
          <cell r="E249">
            <v>1628.95210339</v>
          </cell>
          <cell r="F249">
            <v>1644.7850358000001</v>
          </cell>
          <cell r="G249">
            <v>1645.5207027599999</v>
          </cell>
          <cell r="H249">
            <v>1628.0001203899999</v>
          </cell>
          <cell r="I249">
            <v>1628.1442969899999</v>
          </cell>
          <cell r="J249"/>
          <cell r="K249"/>
        </row>
        <row r="250">
          <cell r="B250" t="str">
            <v>YM42O</v>
          </cell>
          <cell r="C250">
            <v>1614.86155555</v>
          </cell>
          <cell r="D250">
            <v>1604.9330380399999</v>
          </cell>
          <cell r="E250">
            <v>1610.9999463900001</v>
          </cell>
          <cell r="F250">
            <v>1615.29380952</v>
          </cell>
          <cell r="G250">
            <v>1627.5636362</v>
          </cell>
          <cell r="H250">
            <v>1617.1046836800001</v>
          </cell>
          <cell r="I250">
            <v>1618.7417307200001</v>
          </cell>
          <cell r="J250"/>
          <cell r="K250"/>
        </row>
        <row r="251">
          <cell r="B251" t="str">
            <v>TLCUO</v>
          </cell>
          <cell r="C251">
            <v>1567.7044049399999</v>
          </cell>
          <cell r="D251">
            <v>1580.0703430399999</v>
          </cell>
          <cell r="E251">
            <v>1577.0795183</v>
          </cell>
          <cell r="F251">
            <v>1593.11174267</v>
          </cell>
          <cell r="G251">
            <v>1593.27791045</v>
          </cell>
          <cell r="H251">
            <v>1573.80941846</v>
          </cell>
          <cell r="I251">
            <v>1575.4450668100001</v>
          </cell>
          <cell r="J251"/>
          <cell r="K251"/>
        </row>
        <row r="252">
          <cell r="B252" t="str">
            <v>OLC6O</v>
          </cell>
          <cell r="C252">
            <v>1635.2485359</v>
          </cell>
          <cell r="D252">
            <v>1646.7632024899999</v>
          </cell>
          <cell r="E252">
            <v>1645.6116681599999</v>
          </cell>
          <cell r="F252">
            <v>1667.72205958</v>
          </cell>
          <cell r="G252">
            <v>1661.0454462499999</v>
          </cell>
          <cell r="H252">
            <v>1640.8266271499999</v>
          </cell>
          <cell r="I252">
            <v>1641.9359480200001</v>
          </cell>
          <cell r="J252"/>
          <cell r="K252"/>
        </row>
        <row r="253">
          <cell r="B253" t="str">
            <v>T672O</v>
          </cell>
          <cell r="C253">
            <v>1551.6059846400001</v>
          </cell>
          <cell r="D253">
            <v>1551.6063739000001</v>
          </cell>
          <cell r="E253">
            <v>1540.1068363300001</v>
          </cell>
          <cell r="F253">
            <v>1545.8172713599999</v>
          </cell>
          <cell r="G253">
            <v>1547.3314157899999</v>
          </cell>
          <cell r="H253">
            <v>1554.3264356100001</v>
          </cell>
          <cell r="I253">
            <v>1561.8125656100001</v>
          </cell>
          <cell r="J253"/>
          <cell r="K253"/>
        </row>
        <row r="254">
          <cell r="B254" t="str">
            <v>CS48O</v>
          </cell>
          <cell r="C254">
            <v>1631.7964967099999</v>
          </cell>
          <cell r="D254">
            <v>1644.2466402699999</v>
          </cell>
          <cell r="E254">
            <v>1634.51918596</v>
          </cell>
          <cell r="F254">
            <v>1641.1437293500001</v>
          </cell>
          <cell r="G254">
            <v>1651.5934307800001</v>
          </cell>
          <cell r="H254">
            <v>1638.2769158999999</v>
          </cell>
          <cell r="I254">
            <v>1643.25885505</v>
          </cell>
          <cell r="J254"/>
          <cell r="K254"/>
        </row>
        <row r="255">
          <cell r="B255" t="str">
            <v>CS47O</v>
          </cell>
          <cell r="C255">
            <v>1618.65256905</v>
          </cell>
          <cell r="D255">
            <v>1631.4691969099999</v>
          </cell>
          <cell r="E255">
            <v>1625.4393666999999</v>
          </cell>
          <cell r="F255">
            <v>1636.2458411699999</v>
          </cell>
          <cell r="G255">
            <v>1642.6808191800001</v>
          </cell>
          <cell r="H255">
            <v>1625.35550577</v>
          </cell>
          <cell r="I255">
            <v>1628.3580299600001</v>
          </cell>
          <cell r="J255"/>
          <cell r="K255"/>
        </row>
        <row r="256">
          <cell r="B256" t="str">
            <v>ZZC1O</v>
          </cell>
          <cell r="C256">
            <v>1574.1928343500001</v>
          </cell>
          <cell r="D256">
            <v>1574.23095754</v>
          </cell>
          <cell r="E256">
            <v>1562.49443148</v>
          </cell>
          <cell r="F256">
            <v>1568.2904765000001</v>
          </cell>
          <cell r="G256">
            <v>1569.8069778900001</v>
          </cell>
          <cell r="H256">
            <v>1576.91171401</v>
          </cell>
          <cell r="I256">
            <v>1584.5473650199999</v>
          </cell>
          <cell r="J256"/>
          <cell r="K256"/>
        </row>
        <row r="257">
          <cell r="B257" t="str">
            <v>BVCUO</v>
          </cell>
          <cell r="C257">
            <v>1534.9628493299999</v>
          </cell>
          <cell r="D257">
            <v>1537.41154106</v>
          </cell>
          <cell r="E257">
            <v>1523.77808181</v>
          </cell>
          <cell r="F257">
            <v>1529.1378261299999</v>
          </cell>
          <cell r="G257">
            <v>1530.7596029599999</v>
          </cell>
          <cell r="H257">
            <v>1536.3312721699999</v>
          </cell>
          <cell r="I257">
            <v>1544.9531933999999</v>
          </cell>
          <cell r="J257"/>
          <cell r="K257"/>
        </row>
        <row r="258">
          <cell r="B258" t="str">
            <v>JNC6O</v>
          </cell>
          <cell r="C258">
            <v>1562.8571523799999</v>
          </cell>
          <cell r="D258">
            <v>1570.0112305</v>
          </cell>
          <cell r="E258">
            <v>1555.1862982600001</v>
          </cell>
          <cell r="F258">
            <v>1559.5519923500001</v>
          </cell>
          <cell r="G258">
            <v>1562.41397029</v>
          </cell>
          <cell r="H258">
            <v>1562.18785955</v>
          </cell>
          <cell r="I258">
            <v>1570.9514289399999</v>
          </cell>
          <cell r="J258"/>
          <cell r="K258"/>
        </row>
        <row r="259">
          <cell r="B259" t="str">
            <v>HVS1O</v>
          </cell>
          <cell r="C259">
            <v>1545.8633847900001</v>
          </cell>
          <cell r="D259">
            <v>1557.805728</v>
          </cell>
          <cell r="E259">
            <v>1548.60914583</v>
          </cell>
          <cell r="F259">
            <v>1555.2164050900001</v>
          </cell>
          <cell r="G259">
            <v>1555.23696806</v>
          </cell>
          <cell r="H259">
            <v>1542.91342061</v>
          </cell>
          <cell r="I259">
            <v>1547.8100958299999</v>
          </cell>
          <cell r="J259"/>
          <cell r="K259"/>
        </row>
        <row r="260">
          <cell r="B260" t="str">
            <v>TGCHO</v>
          </cell>
          <cell r="C260">
            <v>0</v>
          </cell>
          <cell r="D260">
            <v>0</v>
          </cell>
          <cell r="E260">
            <v>9.9999999999999995E-8</v>
          </cell>
          <cell r="F260">
            <v>9.9999999999999995E-8</v>
          </cell>
          <cell r="G260">
            <v>9.9999999999999995E-8</v>
          </cell>
          <cell r="H260">
            <v>9.9999999999999995E-8</v>
          </cell>
          <cell r="I260">
            <v>9.9999999999999995E-8</v>
          </cell>
          <cell r="J260"/>
          <cell r="K260"/>
        </row>
        <row r="261"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</row>
        <row r="262">
          <cell r="B262" t="str">
            <v>Obligaciones Negociables Hard USD - LE</v>
          </cell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 t="str">
            <v>PNDCD</v>
          </cell>
          <cell r="C264">
            <v>0.43084436999999998</v>
          </cell>
          <cell r="D264">
            <v>0.43164021000000002</v>
          </cell>
          <cell r="E264">
            <v>0.43170298000000001</v>
          </cell>
          <cell r="F264">
            <v>0.43170924999999999</v>
          </cell>
          <cell r="G264">
            <v>0.4316412</v>
          </cell>
          <cell r="H264">
            <v>0.43166063999999998</v>
          </cell>
          <cell r="I264">
            <v>0.43212627999999997</v>
          </cell>
          <cell r="J264"/>
          <cell r="K264"/>
        </row>
        <row r="265">
          <cell r="B265" t="str">
            <v>YCAMD</v>
          </cell>
          <cell r="C265">
            <v>1.0793749699999999</v>
          </cell>
          <cell r="D265">
            <v>1.08439069</v>
          </cell>
          <cell r="E265">
            <v>1.0851238000000001</v>
          </cell>
          <cell r="F265">
            <v>1.0860500900000001</v>
          </cell>
          <cell r="G265">
            <v>1.0859948100000001</v>
          </cell>
          <cell r="H265">
            <v>1.0864056200000001</v>
          </cell>
          <cell r="I265">
            <v>1.08957689</v>
          </cell>
          <cell r="J265"/>
          <cell r="K265"/>
        </row>
        <row r="266">
          <cell r="B266" t="str">
            <v>AER4D</v>
          </cell>
          <cell r="C266">
            <v>0.76981931000000003</v>
          </cell>
          <cell r="D266">
            <v>0.77459822</v>
          </cell>
          <cell r="E266">
            <v>0.77552712999999995</v>
          </cell>
          <cell r="F266">
            <v>0.77631850999999996</v>
          </cell>
          <cell r="G266">
            <v>0.77646219999999999</v>
          </cell>
          <cell r="H266">
            <v>0.77676003999999998</v>
          </cell>
          <cell r="I266">
            <v>0.7794972</v>
          </cell>
          <cell r="J266"/>
          <cell r="K266"/>
        </row>
        <row r="267">
          <cell r="B267" t="str">
            <v>YMCID</v>
          </cell>
          <cell r="C267">
            <v>0.95326432000000005</v>
          </cell>
          <cell r="D267">
            <v>0.95414409</v>
          </cell>
          <cell r="E267">
            <v>0.96196649000000001</v>
          </cell>
          <cell r="F267">
            <v>0.96089866000000002</v>
          </cell>
          <cell r="G267">
            <v>0.9611904</v>
          </cell>
          <cell r="H267">
            <v>0.96152912999999995</v>
          </cell>
          <cell r="I267">
            <v>0.95791512999999995</v>
          </cell>
          <cell r="J267"/>
          <cell r="K267"/>
        </row>
        <row r="268">
          <cell r="B268" t="str">
            <v>BYCHD</v>
          </cell>
          <cell r="C268">
            <v>1.0826337399999999</v>
          </cell>
          <cell r="D268">
            <v>1.0912477937510801</v>
          </cell>
          <cell r="E268">
            <v>1.0930719652215399</v>
          </cell>
          <cell r="F268">
            <v>1.0945497099999999</v>
          </cell>
          <cell r="G268">
            <v>1.09494593</v>
          </cell>
          <cell r="H268">
            <v>1.0954686199999999</v>
          </cell>
          <cell r="I268">
            <v>1.10028836</v>
          </cell>
          <cell r="J268"/>
          <cell r="K268"/>
        </row>
        <row r="269">
          <cell r="B269" t="str">
            <v>YMCUD</v>
          </cell>
          <cell r="C269">
            <v>1.01100031</v>
          </cell>
          <cell r="D269">
            <v>1.0179880699999999</v>
          </cell>
          <cell r="E269">
            <v>1.0196289700000001</v>
          </cell>
          <cell r="F269">
            <v>1.0204822</v>
          </cell>
          <cell r="G269">
            <v>1.0209309</v>
          </cell>
          <cell r="H269">
            <v>1.0212072999999999</v>
          </cell>
          <cell r="I269">
            <v>1.02475443</v>
          </cell>
          <cell r="J269"/>
          <cell r="K269"/>
        </row>
        <row r="270">
          <cell r="B270" t="str">
            <v>YMC1D</v>
          </cell>
          <cell r="C270">
            <v>1.1151493100000001</v>
          </cell>
          <cell r="D270">
            <v>1.1244573099999999</v>
          </cell>
          <cell r="E270">
            <v>1.1267161299999999</v>
          </cell>
          <cell r="F270">
            <v>1.1279593400000001</v>
          </cell>
          <cell r="G270">
            <v>1.1286233699999999</v>
          </cell>
          <cell r="H270">
            <v>1.1289986400000001</v>
          </cell>
          <cell r="I270">
            <v>1.13370839</v>
          </cell>
          <cell r="J270"/>
          <cell r="K270"/>
        </row>
        <row r="271">
          <cell r="B271" t="str">
            <v>ARC1D</v>
          </cell>
          <cell r="C271">
            <v>1.0718163199999999</v>
          </cell>
          <cell r="D271">
            <v>1.0798014300000001</v>
          </cell>
          <cell r="E271">
            <v>1.08184904</v>
          </cell>
          <cell r="F271">
            <v>1.0826493100000001</v>
          </cell>
          <cell r="G271">
            <v>1.0833087699999999</v>
          </cell>
          <cell r="H271">
            <v>1.0835328799999999</v>
          </cell>
          <cell r="I271">
            <v>1.0719955800000001</v>
          </cell>
          <cell r="J271"/>
          <cell r="K271"/>
        </row>
        <row r="272">
          <cell r="B272" t="str">
            <v>TTCDD</v>
          </cell>
          <cell r="C272">
            <v>1.0885</v>
          </cell>
          <cell r="D272">
            <v>1.0900512</v>
          </cell>
          <cell r="E272">
            <v>1.0935317899999999</v>
          </cell>
          <cell r="F272">
            <v>1.0945</v>
          </cell>
          <cell r="G272">
            <v>1.08810611740631</v>
          </cell>
          <cell r="H272">
            <v>1.0881002099999999</v>
          </cell>
          <cell r="I272">
            <v>1.09161639</v>
          </cell>
          <cell r="J272"/>
          <cell r="K272"/>
        </row>
        <row r="273">
          <cell r="B273" t="str">
            <v>YMCXD</v>
          </cell>
          <cell r="C273">
            <v>1.0868810600000001</v>
          </cell>
          <cell r="D273">
            <v>1.0890453</v>
          </cell>
          <cell r="E273">
            <v>1.0906684200000001</v>
          </cell>
          <cell r="F273">
            <v>1.09914058</v>
          </cell>
          <cell r="G273">
            <v>1.1024478143607399</v>
          </cell>
          <cell r="H273">
            <v>1.0935763700000001</v>
          </cell>
          <cell r="I273">
            <v>1.0941359399999999</v>
          </cell>
          <cell r="J273"/>
          <cell r="K273"/>
        </row>
        <row r="274">
          <cell r="B274" t="str">
            <v>PNXCD</v>
          </cell>
          <cell r="C274">
            <v>1.1084459099999999</v>
          </cell>
          <cell r="D274">
            <v>1.11737555</v>
          </cell>
          <cell r="E274">
            <v>1.1202698900000001</v>
          </cell>
          <cell r="F274">
            <v>1.1203626600000001</v>
          </cell>
          <cell r="G274">
            <v>1.1216116899999999</v>
          </cell>
          <cell r="H274">
            <v>1.12149835</v>
          </cell>
          <cell r="I274">
            <v>1.12468835814082</v>
          </cell>
          <cell r="J274"/>
          <cell r="K274"/>
        </row>
        <row r="275">
          <cell r="B275" t="str">
            <v>PLC5D</v>
          </cell>
          <cell r="C275">
            <v>1.09001697</v>
          </cell>
          <cell r="D275">
            <v>1.0946808400000001</v>
          </cell>
          <cell r="E275">
            <v>1.0975870999999999</v>
          </cell>
          <cell r="F275">
            <v>1.0976373100000001</v>
          </cell>
          <cell r="G275">
            <v>1.0940000000000001</v>
          </cell>
          <cell r="H275">
            <v>1.09876811</v>
          </cell>
          <cell r="I275">
            <v>1.101863</v>
          </cell>
          <cell r="J275"/>
          <cell r="K275"/>
        </row>
        <row r="276">
          <cell r="B276" t="str">
            <v>TSC3D</v>
          </cell>
          <cell r="C276">
            <v>1.085574</v>
          </cell>
          <cell r="D276">
            <v>1.09446431</v>
          </cell>
          <cell r="E276">
            <v>1.09744953</v>
          </cell>
          <cell r="F276">
            <v>1.0974056000000001</v>
          </cell>
          <cell r="G276">
            <v>1.09873727</v>
          </cell>
          <cell r="H276">
            <v>1.0985631</v>
          </cell>
          <cell r="I276">
            <v>1.10156057</v>
          </cell>
          <cell r="J276"/>
          <cell r="K276"/>
        </row>
        <row r="277">
          <cell r="B277" t="str">
            <v>YFCJD</v>
          </cell>
          <cell r="C277">
            <v>1.08450118</v>
          </cell>
          <cell r="D277">
            <v>1.0864000300000001</v>
          </cell>
          <cell r="E277">
            <v>1.04998645</v>
          </cell>
          <cell r="F277">
            <v>1.0497772700000001</v>
          </cell>
          <cell r="G277">
            <v>1.0511492644901499</v>
          </cell>
          <cell r="H277">
            <v>1.05092355</v>
          </cell>
          <cell r="I277">
            <v>1.0412870700000001</v>
          </cell>
          <cell r="J277"/>
          <cell r="K277"/>
        </row>
        <row r="278">
          <cell r="B278" t="str">
            <v>MGCMD</v>
          </cell>
          <cell r="C278">
            <v>1.0917025899999999</v>
          </cell>
          <cell r="D278">
            <v>1.0825</v>
          </cell>
          <cell r="E278">
            <v>1.06108117</v>
          </cell>
          <cell r="F278">
            <v>1.0609363106699199</v>
          </cell>
          <cell r="G278">
            <v>1.0622910299999999</v>
          </cell>
          <cell r="H278">
            <v>1.06208088132838</v>
          </cell>
          <cell r="I278">
            <v>1.06486864</v>
          </cell>
          <cell r="J278"/>
          <cell r="K278"/>
        </row>
        <row r="279">
          <cell r="B279" t="str">
            <v>TTCAD</v>
          </cell>
          <cell r="C279">
            <v>1.04833964</v>
          </cell>
          <cell r="D279">
            <v>1.05109439</v>
          </cell>
          <cell r="E279">
            <v>1.0549999999999999</v>
          </cell>
          <cell r="F279">
            <v>1.0537085100000001</v>
          </cell>
          <cell r="G279">
            <v>1.05513911</v>
          </cell>
          <cell r="H279">
            <v>1.05484888</v>
          </cell>
          <cell r="I279">
            <v>1.06</v>
          </cell>
          <cell r="J279"/>
          <cell r="K279"/>
        </row>
        <row r="280">
          <cell r="B280" t="str">
            <v>PLC4D</v>
          </cell>
          <cell r="C280">
            <v>1.10598888</v>
          </cell>
          <cell r="D280">
            <v>1.10145662</v>
          </cell>
          <cell r="E280">
            <v>1.10597477</v>
          </cell>
          <cell r="F280">
            <v>1.1053315800000001</v>
          </cell>
          <cell r="G280">
            <v>1.1045507800000001</v>
          </cell>
          <cell r="H280">
            <v>1.1026623900000001</v>
          </cell>
          <cell r="I280">
            <v>1.1075363300000001</v>
          </cell>
          <cell r="J280"/>
          <cell r="K280"/>
        </row>
        <row r="281">
          <cell r="B281" t="str">
            <v>VSCVD</v>
          </cell>
          <cell r="C281">
            <v>1.10997543</v>
          </cell>
          <cell r="D281">
            <v>1.10985983</v>
          </cell>
          <cell r="E281">
            <v>1.11698634</v>
          </cell>
          <cell r="F281">
            <v>1.1195138899999999</v>
          </cell>
          <cell r="G281">
            <v>1.1130073300000001</v>
          </cell>
          <cell r="H281">
            <v>1.1143361199999999</v>
          </cell>
          <cell r="I281">
            <v>1.1150267599999999</v>
          </cell>
          <cell r="J281"/>
          <cell r="K281"/>
        </row>
        <row r="282">
          <cell r="B282" t="str">
            <v>YM34D</v>
          </cell>
          <cell r="C282">
            <v>1.07740013</v>
          </cell>
          <cell r="D282">
            <v>1.0809056500000001</v>
          </cell>
          <cell r="E282">
            <v>1.08691721</v>
          </cell>
          <cell r="F282">
            <v>1.08293584</v>
          </cell>
          <cell r="G282">
            <v>1.0870091500000001</v>
          </cell>
          <cell r="H282">
            <v>1.08398755</v>
          </cell>
          <cell r="I282">
            <v>1.08811101</v>
          </cell>
          <cell r="J282"/>
          <cell r="K282"/>
        </row>
        <row r="283">
          <cell r="B283" t="str">
            <v>YMCJD</v>
          </cell>
          <cell r="C283">
            <v>1.0146640600000001</v>
          </cell>
          <cell r="D283">
            <v>1.0157951300000001</v>
          </cell>
          <cell r="E283">
            <v>1.02360344</v>
          </cell>
          <cell r="F283">
            <v>1.0295049300000001</v>
          </cell>
          <cell r="G283">
            <v>1.03184912</v>
          </cell>
          <cell r="H283">
            <v>1.0235983799999999</v>
          </cell>
          <cell r="I283">
            <v>1.0203624</v>
          </cell>
          <cell r="J283"/>
          <cell r="K283"/>
        </row>
        <row r="284">
          <cell r="B284" t="str">
            <v>CAC5D</v>
          </cell>
          <cell r="C284">
            <v>0.54661514</v>
          </cell>
          <cell r="D284">
            <v>0.54959164999999999</v>
          </cell>
          <cell r="E284">
            <v>0.55012819999999996</v>
          </cell>
          <cell r="F284">
            <v>0.55079745999999996</v>
          </cell>
          <cell r="G284">
            <v>0.55075048999999998</v>
          </cell>
          <cell r="H284">
            <v>0.55104337000000003</v>
          </cell>
          <cell r="I284">
            <v>0.55284555999999996</v>
          </cell>
          <cell r="J284"/>
          <cell r="K284"/>
        </row>
        <row r="285">
          <cell r="B285" t="str">
            <v>TLCMD</v>
          </cell>
          <cell r="C285">
            <v>1.12282159</v>
          </cell>
          <cell r="D285">
            <v>1.12294355</v>
          </cell>
          <cell r="E285">
            <v>1.12747284</v>
          </cell>
          <cell r="F285">
            <v>1.1244096100000001</v>
          </cell>
          <cell r="G285">
            <v>1.12049486</v>
          </cell>
          <cell r="H285">
            <v>1.1247802600000001</v>
          </cell>
          <cell r="I285">
            <v>1.1285401399999999</v>
          </cell>
          <cell r="J285"/>
          <cell r="K285"/>
        </row>
        <row r="286">
          <cell r="B286" t="str">
            <v>TLCPD</v>
          </cell>
          <cell r="C286">
            <v>1.10850268</v>
          </cell>
          <cell r="D286">
            <v>1.11700822</v>
          </cell>
          <cell r="E286">
            <v>1.1201880799999999</v>
          </cell>
          <cell r="F286">
            <v>1.11986282</v>
          </cell>
          <cell r="G286">
            <v>1.11464301</v>
          </cell>
          <cell r="H286">
            <v>1.1190256300000001</v>
          </cell>
          <cell r="I286">
            <v>1.1198961199999999</v>
          </cell>
          <cell r="J286"/>
          <cell r="K286"/>
        </row>
        <row r="287">
          <cell r="B287" t="str">
            <v>AEC2D</v>
          </cell>
          <cell r="C287">
            <v>0.53172193000000001</v>
          </cell>
          <cell r="D287">
            <v>0.53377374</v>
          </cell>
          <cell r="E287">
            <v>0.53396489000000003</v>
          </cell>
          <cell r="F287">
            <v>0.53435493999999994</v>
          </cell>
          <cell r="G287">
            <v>0.53432318999999995</v>
          </cell>
          <cell r="H287">
            <v>0.53442624999999999</v>
          </cell>
          <cell r="I287">
            <v>0.53566875999999997</v>
          </cell>
          <cell r="J287"/>
          <cell r="K287"/>
        </row>
        <row r="288"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</row>
        <row r="289">
          <cell r="B289" t="str">
            <v>Obligaciones Negociables Hard USD - LE - Contra $</v>
          </cell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 t="str">
            <v>PNDCO</v>
          </cell>
          <cell r="C291">
            <v>674.47513164999998</v>
          </cell>
          <cell r="D291">
            <v>677.49887257</v>
          </cell>
          <cell r="E291">
            <v>677.50654621000001</v>
          </cell>
          <cell r="F291">
            <v>679.39219269</v>
          </cell>
          <cell r="G291">
            <v>681.93756589999998</v>
          </cell>
          <cell r="H291">
            <v>684.41677733999995</v>
          </cell>
          <cell r="I291">
            <v>686.23777085999996</v>
          </cell>
          <cell r="J291"/>
          <cell r="K291"/>
        </row>
        <row r="292">
          <cell r="B292" t="str">
            <v>YCAMO</v>
          </cell>
          <cell r="C292">
            <v>1633.73603619</v>
          </cell>
          <cell r="D292">
            <v>1641.03602925</v>
          </cell>
          <cell r="E292">
            <v>1641.0518640600001</v>
          </cell>
          <cell r="F292">
            <v>1645.7125263400001</v>
          </cell>
          <cell r="G292">
            <v>1651.88548975</v>
          </cell>
          <cell r="H292">
            <v>1658.0595218399999</v>
          </cell>
          <cell r="I292">
            <v>1661.55726091</v>
          </cell>
          <cell r="J292"/>
          <cell r="K292"/>
        </row>
        <row r="293">
          <cell r="B293" t="str">
            <v>AER4O</v>
          </cell>
          <cell r="C293">
            <v>1165.6023578700001</v>
          </cell>
          <cell r="D293">
            <v>1170.81319816</v>
          </cell>
          <cell r="E293">
            <v>1170.89048258</v>
          </cell>
          <cell r="F293">
            <v>1174.2388880200001</v>
          </cell>
          <cell r="G293">
            <v>1178.6820378899999</v>
          </cell>
          <cell r="H293">
            <v>1183.0359857399999</v>
          </cell>
          <cell r="I293">
            <v>1185.3707557299999</v>
          </cell>
          <cell r="J293"/>
          <cell r="K293"/>
        </row>
        <row r="294">
          <cell r="B294" t="str">
            <v>YMCIO</v>
          </cell>
          <cell r="C294">
            <v>1462.8308891199999</v>
          </cell>
          <cell r="D294">
            <v>1468.58118848</v>
          </cell>
          <cell r="E294">
            <v>1479.9957526200001</v>
          </cell>
          <cell r="F294">
            <v>1457.4392785800001</v>
          </cell>
          <cell r="G294">
            <v>1477.8306483700001</v>
          </cell>
          <cell r="H294">
            <v>1468.3303789199999</v>
          </cell>
          <cell r="I294">
            <v>1471.3055220700001</v>
          </cell>
          <cell r="J294"/>
          <cell r="K294"/>
        </row>
        <row r="295">
          <cell r="B295" t="str">
            <v>BYCHO</v>
          </cell>
          <cell r="C295">
            <v>1623.9837661199999</v>
          </cell>
          <cell r="D295">
            <v>1631.2388888200001</v>
          </cell>
          <cell r="E295">
            <v>1631.4062638099999</v>
          </cell>
          <cell r="F295">
            <v>1636.11834466</v>
          </cell>
          <cell r="G295">
            <v>1642.3455753200001</v>
          </cell>
          <cell r="H295">
            <v>1648.4129270999999</v>
          </cell>
          <cell r="I295">
            <v>1651.26174315</v>
          </cell>
          <cell r="J295"/>
          <cell r="K295"/>
        </row>
        <row r="296">
          <cell r="B296" t="str">
            <v>YMCUO</v>
          </cell>
          <cell r="C296">
            <v>1542.4532736399999</v>
          </cell>
          <cell r="D296">
            <v>1541.58013951</v>
          </cell>
          <cell r="E296">
            <v>1540.2658062099999</v>
          </cell>
          <cell r="F296">
            <v>1547.92641295</v>
          </cell>
          <cell r="G296">
            <v>1548.03847309</v>
          </cell>
          <cell r="H296">
            <v>1551.6814049</v>
          </cell>
          <cell r="I296">
            <v>1556.00797347</v>
          </cell>
          <cell r="J296"/>
          <cell r="K296"/>
        </row>
        <row r="297">
          <cell r="B297" t="str">
            <v>YMC1O</v>
          </cell>
          <cell r="C297">
            <v>1691.08940319</v>
          </cell>
          <cell r="D297">
            <v>1698.6443021600001</v>
          </cell>
          <cell r="E297">
            <v>1698.9831938299999</v>
          </cell>
          <cell r="F297">
            <v>1703.854004</v>
          </cell>
          <cell r="G297">
            <v>1710.37908634</v>
          </cell>
          <cell r="H297">
            <v>1716.47348519</v>
          </cell>
          <cell r="I297">
            <v>1719.67993469</v>
          </cell>
          <cell r="J297"/>
          <cell r="K297"/>
        </row>
        <row r="298">
          <cell r="B298" t="str">
            <v>ARC1O</v>
          </cell>
          <cell r="C298">
            <v>1615.1881081900001</v>
          </cell>
          <cell r="D298">
            <v>1632</v>
          </cell>
          <cell r="E298">
            <v>1644.1431799100001</v>
          </cell>
          <cell r="F298">
            <v>1648.78359819</v>
          </cell>
          <cell r="G298">
            <v>1655.0791069899999</v>
          </cell>
          <cell r="H298">
            <v>1660.80826346</v>
          </cell>
          <cell r="I298">
            <v>1664.34102246</v>
          </cell>
          <cell r="J298"/>
          <cell r="K298"/>
        </row>
        <row r="299">
          <cell r="B299" t="str">
            <v>TTCDO</v>
          </cell>
          <cell r="C299">
            <v>1665.1080989500001</v>
          </cell>
          <cell r="D299">
            <v>1677.4569559700001</v>
          </cell>
          <cell r="E299">
            <v>1678.83908703</v>
          </cell>
          <cell r="F299">
            <v>1682.3153434000001</v>
          </cell>
          <cell r="G299">
            <v>1675</v>
          </cell>
          <cell r="H299">
            <v>1689.2725700200001</v>
          </cell>
          <cell r="I299">
            <v>1690.2214273899999</v>
          </cell>
          <cell r="J299"/>
          <cell r="K299"/>
        </row>
        <row r="300">
          <cell r="B300" t="str">
            <v>YMCXO</v>
          </cell>
          <cell r="C300">
            <v>1665.31696182</v>
          </cell>
          <cell r="D300">
            <v>1667.95465175</v>
          </cell>
          <cell r="E300">
            <v>1670.9626485399999</v>
          </cell>
          <cell r="F300">
            <v>1688.11333539</v>
          </cell>
          <cell r="G300">
            <v>1695.7869122300001</v>
          </cell>
          <cell r="H300">
            <v>1697.3649620000001</v>
          </cell>
          <cell r="I300">
            <v>1694.2253003999999</v>
          </cell>
          <cell r="J300"/>
          <cell r="K300"/>
        </row>
        <row r="301">
          <cell r="B301" t="str">
            <v>PNXCO</v>
          </cell>
          <cell r="C301">
            <v>1714.6403582</v>
          </cell>
          <cell r="D301">
            <v>1722.2535623900001</v>
          </cell>
          <cell r="E301">
            <v>1723.1841516500001</v>
          </cell>
          <cell r="F301">
            <v>1727.89269745</v>
          </cell>
          <cell r="G301">
            <v>1734.52952559</v>
          </cell>
          <cell r="H301">
            <v>1739.89784573</v>
          </cell>
          <cell r="I301">
            <v>1744.33866803</v>
          </cell>
          <cell r="J301"/>
          <cell r="K301"/>
        </row>
        <row r="302">
          <cell r="B302" t="str">
            <v>PLC5O</v>
          </cell>
          <cell r="C302">
            <v>1676.0605709199999</v>
          </cell>
          <cell r="D302">
            <v>1690.55055941</v>
          </cell>
          <cell r="E302">
            <v>1691.4888791000001</v>
          </cell>
          <cell r="F302">
            <v>1696.1076631799999</v>
          </cell>
          <cell r="G302">
            <v>1702.63112514</v>
          </cell>
          <cell r="H302">
            <v>1688.69113122</v>
          </cell>
          <cell r="I302">
            <v>1693.8818180599999</v>
          </cell>
          <cell r="J302"/>
          <cell r="K302"/>
        </row>
        <row r="303">
          <cell r="B303" t="str">
            <v>TSC3O</v>
          </cell>
          <cell r="C303">
            <v>1682.96466562</v>
          </cell>
          <cell r="D303">
            <v>1690.43008824</v>
          </cell>
          <cell r="E303">
            <v>1691.43646644</v>
          </cell>
          <cell r="F303">
            <v>1696.0294940000001</v>
          </cell>
          <cell r="G303">
            <v>1702.55140972</v>
          </cell>
          <cell r="H303">
            <v>1705.2639337799999</v>
          </cell>
          <cell r="I303">
            <v>1712.19175002</v>
          </cell>
          <cell r="J303"/>
          <cell r="K303"/>
        </row>
        <row r="304">
          <cell r="B304" t="str">
            <v>YFCJO</v>
          </cell>
          <cell r="C304">
            <v>1672.7289968699999</v>
          </cell>
          <cell r="D304">
            <v>1680.1371829699999</v>
          </cell>
          <cell r="E304">
            <v>1617.56210599</v>
          </cell>
          <cell r="F304">
            <v>1621.9065422900001</v>
          </cell>
          <cell r="G304">
            <v>1628.1365433999999</v>
          </cell>
          <cell r="H304">
            <v>1632.91163185</v>
          </cell>
          <cell r="I304">
            <v>1610.4085667500001</v>
          </cell>
          <cell r="J304"/>
          <cell r="K304"/>
        </row>
        <row r="305">
          <cell r="B305" t="str">
            <v>MGCMO</v>
          </cell>
          <cell r="C305">
            <v>1676.3967856500001</v>
          </cell>
          <cell r="D305">
            <v>1635.5775711399999</v>
          </cell>
          <cell r="E305">
            <v>1636.61951374</v>
          </cell>
          <cell r="F305">
            <v>1675.66706043</v>
          </cell>
          <cell r="G305">
            <v>1647.3492497699999</v>
          </cell>
          <cell r="H305">
            <v>1675.2</v>
          </cell>
          <cell r="I305">
            <v>1656.69890803</v>
          </cell>
          <cell r="J305"/>
          <cell r="K305"/>
        </row>
        <row r="306">
          <cell r="B306" t="str">
            <v>TTCAO</v>
          </cell>
          <cell r="C306">
            <v>1618.6239282199999</v>
          </cell>
          <cell r="D306">
            <v>1625.77815493</v>
          </cell>
          <cell r="E306">
            <v>1626.9427610099999</v>
          </cell>
          <cell r="F306">
            <v>1631.2710692600001</v>
          </cell>
          <cell r="G306">
            <v>1637.5289484499999</v>
          </cell>
          <cell r="H306">
            <v>1642.2186624000001</v>
          </cell>
          <cell r="I306">
            <v>1639.7</v>
          </cell>
          <cell r="J306"/>
          <cell r="K306"/>
        </row>
        <row r="307">
          <cell r="B307" t="str">
            <v>PLC4O</v>
          </cell>
          <cell r="C307">
            <v>1700.2275896900001</v>
          </cell>
          <cell r="D307">
            <v>1693.01597339</v>
          </cell>
          <cell r="E307">
            <v>1697.84403505</v>
          </cell>
          <cell r="F307">
            <v>1698.4309017999999</v>
          </cell>
          <cell r="G307">
            <v>1700.18411896</v>
          </cell>
          <cell r="H307">
            <v>1724.9148917699999</v>
          </cell>
          <cell r="I307">
            <v>1715.8</v>
          </cell>
          <cell r="J307"/>
          <cell r="K307"/>
        </row>
        <row r="308">
          <cell r="B308" t="str">
            <v>VSCVO</v>
          </cell>
          <cell r="C308">
            <v>1709.3668225199999</v>
          </cell>
          <cell r="D308">
            <v>1706.22275498</v>
          </cell>
          <cell r="E308">
            <v>1714.64636933</v>
          </cell>
          <cell r="F308">
            <v>1732.5</v>
          </cell>
          <cell r="G308">
            <v>1715.69996436</v>
          </cell>
          <cell r="H308">
            <v>1721.4375542800001</v>
          </cell>
          <cell r="I308">
            <v>1724.35224053</v>
          </cell>
          <cell r="J308"/>
          <cell r="K308"/>
        </row>
        <row r="309">
          <cell r="B309" t="str">
            <v>YM34O</v>
          </cell>
          <cell r="C309">
            <v>1656.42586622</v>
          </cell>
          <cell r="D309">
            <v>1660.02525657</v>
          </cell>
          <cell r="E309">
            <v>1664.5701995500001</v>
          </cell>
          <cell r="F309">
            <v>1667.61094194</v>
          </cell>
          <cell r="G309">
            <v>1674.07171294</v>
          </cell>
          <cell r="H309">
            <v>1675.7515981900001</v>
          </cell>
          <cell r="I309">
            <v>1686.9925699400001</v>
          </cell>
          <cell r="J309"/>
          <cell r="K309"/>
        </row>
        <row r="310">
          <cell r="B310" t="str">
            <v>YMCJO</v>
          </cell>
          <cell r="C310">
            <v>1560.33051387</v>
          </cell>
          <cell r="D310">
            <v>1559.90754943</v>
          </cell>
          <cell r="E310">
            <v>1566.6988351099999</v>
          </cell>
          <cell r="F310">
            <v>1580.2615596400001</v>
          </cell>
          <cell r="G310">
            <v>1596.1889217299999</v>
          </cell>
          <cell r="H310">
            <v>1581.34195845</v>
          </cell>
          <cell r="I310">
            <v>1586.2104284300001</v>
          </cell>
          <cell r="J310"/>
          <cell r="K310"/>
        </row>
        <row r="311">
          <cell r="B311" t="str">
            <v>CAC5O</v>
          </cell>
          <cell r="C311">
            <v>825.61724356000002</v>
          </cell>
          <cell r="D311">
            <v>829.51440943</v>
          </cell>
          <cell r="E311">
            <v>829.52357602999996</v>
          </cell>
          <cell r="F311">
            <v>832.01691690999996</v>
          </cell>
          <cell r="G311">
            <v>835.04713602000004</v>
          </cell>
          <cell r="H311">
            <v>838.27072482000005</v>
          </cell>
          <cell r="I311">
            <v>839.90902028000005</v>
          </cell>
          <cell r="J311"/>
          <cell r="K311"/>
        </row>
        <row r="312">
          <cell r="B312" t="str">
            <v>TLCMO</v>
          </cell>
          <cell r="C312">
            <v>1723.0319344699999</v>
          </cell>
          <cell r="D312">
            <v>1709.9214901</v>
          </cell>
          <cell r="E312">
            <v>1729.5727799199999</v>
          </cell>
          <cell r="F312">
            <v>1715.7647423400001</v>
          </cell>
          <cell r="G312">
            <v>1721.6350084200001</v>
          </cell>
          <cell r="H312">
            <v>1740.5678430999999</v>
          </cell>
          <cell r="I312">
            <v>1746.6058293000001</v>
          </cell>
          <cell r="J312"/>
          <cell r="K312"/>
        </row>
        <row r="313">
          <cell r="B313" t="str">
            <v>TLCPO</v>
          </cell>
          <cell r="C313">
            <v>1704.0721578099999</v>
          </cell>
          <cell r="D313">
            <v>1712.87403993</v>
          </cell>
          <cell r="E313">
            <v>1719.81274031</v>
          </cell>
          <cell r="F313">
            <v>1720.3308317799999</v>
          </cell>
          <cell r="G313">
            <v>1707.7538793900001</v>
          </cell>
          <cell r="H313">
            <v>1728.59777839</v>
          </cell>
          <cell r="I313">
            <v>1734.9631246199999</v>
          </cell>
          <cell r="J313"/>
          <cell r="K313"/>
        </row>
        <row r="314">
          <cell r="B314" t="str">
            <v>AEC2O</v>
          </cell>
          <cell r="C314">
            <v>811.72890115999996</v>
          </cell>
          <cell r="D314">
            <v>815.35395503999996</v>
          </cell>
          <cell r="E314">
            <v>815.25067676000003</v>
          </cell>
          <cell r="F314">
            <v>817.67475632000003</v>
          </cell>
          <cell r="G314">
            <v>820.71224224000002</v>
          </cell>
          <cell r="H314">
            <v>823.69402353999999</v>
          </cell>
          <cell r="I314">
            <v>825.50025211000002</v>
          </cell>
          <cell r="J314"/>
          <cell r="K314"/>
        </row>
        <row r="315"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</row>
        <row r="316">
          <cell r="B316" t="str">
            <v>Obligaciones Negociables Dólar linked</v>
          </cell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 t="str">
            <v>GE22P</v>
          </cell>
          <cell r="C318">
            <v>516.94365468000001</v>
          </cell>
          <cell r="D318">
            <v>516.58008455000004</v>
          </cell>
          <cell r="E318">
            <v>520.63846892000004</v>
          </cell>
          <cell r="F318">
            <v>519.74120073999995</v>
          </cell>
          <cell r="G318">
            <v>522.87686119</v>
          </cell>
          <cell r="H318">
            <v>522.63075667999999</v>
          </cell>
          <cell r="I318">
            <v>523.32009315000005</v>
          </cell>
          <cell r="J318"/>
          <cell r="K318"/>
        </row>
        <row r="319">
          <cell r="B319" t="str">
            <v>HA12L</v>
          </cell>
          <cell r="C319">
            <v>1579.8947735500001</v>
          </cell>
          <cell r="D319">
            <v>1580.7632803700001</v>
          </cell>
          <cell r="E319">
            <v>1565.6435914599999</v>
          </cell>
          <cell r="F319">
            <v>1562.53264857</v>
          </cell>
          <cell r="G319">
            <v>1562.81540167</v>
          </cell>
          <cell r="H319">
            <v>1558.0375375000001</v>
          </cell>
          <cell r="I319">
            <v>1556.6194728600001</v>
          </cell>
          <cell r="J319"/>
          <cell r="K319"/>
        </row>
        <row r="320">
          <cell r="B320" t="str">
            <v>APS1L</v>
          </cell>
          <cell r="C320">
            <v>1521.6195374900001</v>
          </cell>
          <cell r="D320">
            <v>1520.60780383</v>
          </cell>
          <cell r="E320">
            <v>1534.71398712</v>
          </cell>
          <cell r="F320">
            <v>1536.40897047</v>
          </cell>
          <cell r="G320">
            <v>1545.9597967100001</v>
          </cell>
          <cell r="H320">
            <v>1544.5333370599999</v>
          </cell>
          <cell r="I320">
            <v>1546.6492369600001</v>
          </cell>
          <cell r="J320"/>
          <cell r="K320"/>
        </row>
        <row r="321">
          <cell r="B321" t="str">
            <v>GN37O</v>
          </cell>
          <cell r="C321">
            <v>504.20587346999997</v>
          </cell>
          <cell r="D321">
            <v>503.82137089999998</v>
          </cell>
          <cell r="E321">
            <v>504.76104951999997</v>
          </cell>
          <cell r="F321">
            <v>504.63588195</v>
          </cell>
          <cell r="G321">
            <v>507.59137991</v>
          </cell>
          <cell r="H321">
            <v>507.93667001</v>
          </cell>
          <cell r="I321">
            <v>508.56876714999999</v>
          </cell>
          <cell r="J321"/>
          <cell r="K321"/>
        </row>
        <row r="322">
          <cell r="B322" t="str">
            <v>VSCIO</v>
          </cell>
          <cell r="C322">
            <v>1508.42451065</v>
          </cell>
          <cell r="D322">
            <v>1507.28657985</v>
          </cell>
          <cell r="E322">
            <v>1513.17288596</v>
          </cell>
          <cell r="F322">
            <v>1511.85229478</v>
          </cell>
          <cell r="G322">
            <v>1520.7735996399999</v>
          </cell>
          <cell r="H322">
            <v>1521.22302534</v>
          </cell>
          <cell r="I322">
            <v>1523.13597757</v>
          </cell>
          <cell r="J322"/>
          <cell r="K322"/>
        </row>
        <row r="323">
          <cell r="B323" t="str">
            <v>PNJCO</v>
          </cell>
          <cell r="C323">
            <v>1508.40711874</v>
          </cell>
          <cell r="D323">
            <v>1507.2930065999999</v>
          </cell>
          <cell r="E323">
            <v>1518.2443563700001</v>
          </cell>
          <cell r="F323">
            <v>1515.6322462600001</v>
          </cell>
          <cell r="G323">
            <v>1524.70251304</v>
          </cell>
          <cell r="H323">
            <v>1524.1202967700001</v>
          </cell>
          <cell r="I323">
            <v>1519.5</v>
          </cell>
          <cell r="J323"/>
          <cell r="K323"/>
        </row>
        <row r="324">
          <cell r="B324" t="str">
            <v>VSCJO</v>
          </cell>
          <cell r="C324">
            <v>1494.9226670800001</v>
          </cell>
          <cell r="D324">
            <v>1493.8265848599999</v>
          </cell>
          <cell r="E324">
            <v>1507.50283233</v>
          </cell>
          <cell r="F324">
            <v>1503.26730535</v>
          </cell>
          <cell r="G324">
            <v>1512.3057636399999</v>
          </cell>
          <cell r="H324">
            <v>1511.4141686400001</v>
          </cell>
          <cell r="I324">
            <v>1513.3641474599999</v>
          </cell>
          <cell r="J324"/>
          <cell r="K324"/>
        </row>
        <row r="325">
          <cell r="B325" t="str">
            <v>TLCDO</v>
          </cell>
          <cell r="C325">
            <v>1501.3099210299999</v>
          </cell>
          <cell r="D325">
            <v>1500.2110716</v>
          </cell>
          <cell r="E325">
            <v>1512.7</v>
          </cell>
          <cell r="F325">
            <v>1509.96118422</v>
          </cell>
          <cell r="G325">
            <v>1519.04982812</v>
          </cell>
          <cell r="H325">
            <v>1518.08366093</v>
          </cell>
          <cell r="I325">
            <v>1520.0451372699999</v>
          </cell>
          <cell r="J325"/>
          <cell r="K325"/>
        </row>
        <row r="326">
          <cell r="B326" t="str">
            <v>PNZCO</v>
          </cell>
          <cell r="C326">
            <v>1471.0919609</v>
          </cell>
          <cell r="D326">
            <v>1470.04774236</v>
          </cell>
          <cell r="E326">
            <v>1485.89258187</v>
          </cell>
          <cell r="F326">
            <v>1483.62681806</v>
          </cell>
          <cell r="G326">
            <v>1492.72089289</v>
          </cell>
          <cell r="H326">
            <v>1489.59</v>
          </cell>
          <cell r="I326">
            <v>1492.8255118699999</v>
          </cell>
          <cell r="J326"/>
          <cell r="K326"/>
        </row>
        <row r="327">
          <cell r="B327" t="str">
            <v>OLC3O</v>
          </cell>
          <cell r="C327">
            <v>1469.6394851800001</v>
          </cell>
          <cell r="D327">
            <v>1468.59788948</v>
          </cell>
          <cell r="E327">
            <v>1483.24</v>
          </cell>
          <cell r="F327">
            <v>1477.90832639</v>
          </cell>
          <cell r="G327">
            <v>1491.4248024599999</v>
          </cell>
          <cell r="H327">
            <v>1489.17</v>
          </cell>
          <cell r="I327">
            <v>1491.50581515</v>
          </cell>
          <cell r="J327"/>
          <cell r="K327"/>
        </row>
        <row r="328">
          <cell r="B328" t="str">
            <v>MGCEO</v>
          </cell>
          <cell r="C328">
            <v>1434.07401615</v>
          </cell>
          <cell r="D328">
            <v>1433.0854109899999</v>
          </cell>
          <cell r="E328">
            <v>1447.04122654</v>
          </cell>
          <cell r="F328">
            <v>1448.92541585</v>
          </cell>
          <cell r="G328">
            <v>1457.94019996</v>
          </cell>
          <cell r="H328">
            <v>1456.24817065</v>
          </cell>
          <cell r="I328">
            <v>1458.2117179100001</v>
          </cell>
          <cell r="J328"/>
          <cell r="K328"/>
        </row>
        <row r="329">
          <cell r="B329" t="str">
            <v>OLC2O</v>
          </cell>
          <cell r="C329">
            <v>1418.80857186</v>
          </cell>
          <cell r="D329">
            <v>1417.8463737</v>
          </cell>
          <cell r="E329">
            <v>1429.25</v>
          </cell>
          <cell r="F329">
            <v>1434.7264678900001</v>
          </cell>
          <cell r="G329">
            <v>1443.708742</v>
          </cell>
          <cell r="H329">
            <v>1443.4602023499999</v>
          </cell>
          <cell r="I329">
            <v>1445.4189690799999</v>
          </cell>
          <cell r="J329"/>
          <cell r="K329"/>
        </row>
        <row r="330">
          <cell r="B330" t="str">
            <v>MR43O</v>
          </cell>
          <cell r="C330">
            <v>454.75628999999998</v>
          </cell>
          <cell r="D330">
            <v>454.36964999999998</v>
          </cell>
          <cell r="E330">
            <v>454.17923999999999</v>
          </cell>
          <cell r="F330">
            <v>454.36964999999998</v>
          </cell>
          <cell r="G330">
            <v>457.00398000000001</v>
          </cell>
          <cell r="H330">
            <v>457.45202999999998</v>
          </cell>
          <cell r="I330">
            <v>457.99991999999997</v>
          </cell>
          <cell r="J330"/>
          <cell r="K330"/>
        </row>
        <row r="331">
          <cell r="B331" t="str">
            <v>DRSAO</v>
          </cell>
          <cell r="C331">
            <v>9.9999999999999995E-8</v>
          </cell>
          <cell r="D331">
            <v>9.9999999999999995E-8</v>
          </cell>
          <cell r="E331">
            <v>9.9999999999999995E-8</v>
          </cell>
          <cell r="F331">
            <v>9.9999999999999995E-8</v>
          </cell>
          <cell r="G331">
            <v>9.9999999999999995E-8</v>
          </cell>
          <cell r="H331">
            <v>9.9999999999999995E-8</v>
          </cell>
          <cell r="I331">
            <v>9.9999999999999995E-8</v>
          </cell>
          <cell r="J331"/>
          <cell r="K331"/>
        </row>
        <row r="332"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</row>
        <row r="333">
          <cell r="B333" t="str">
            <v>Fideicomisos Financieros Tamar</v>
          </cell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 t="str">
            <v>CO18A</v>
          </cell>
          <cell r="C335">
            <v>0.25090884000000002</v>
          </cell>
          <cell r="D335">
            <v>0.25110321000000002</v>
          </cell>
          <cell r="E335">
            <v>0.25131713999999999</v>
          </cell>
          <cell r="F335">
            <v>0.25186530000000001</v>
          </cell>
          <cell r="G335">
            <v>0.18375765999999999</v>
          </cell>
          <cell r="H335">
            <v>0.18388591000000001</v>
          </cell>
          <cell r="I335">
            <v>0.18401857999999999</v>
          </cell>
          <cell r="J335"/>
          <cell r="K335"/>
        </row>
        <row r="336">
          <cell r="B336" t="str">
            <v>CO17A</v>
          </cell>
          <cell r="C336">
            <v>0.25789625999999999</v>
          </cell>
          <cell r="D336">
            <v>0.25809604000000003</v>
          </cell>
          <cell r="E336">
            <v>0.25831591999999998</v>
          </cell>
          <cell r="F336">
            <v>0.25887936</v>
          </cell>
          <cell r="G336">
            <v>0.20025925999999999</v>
          </cell>
          <cell r="H336">
            <v>0.20039903000000001</v>
          </cell>
          <cell r="I336">
            <v>0.20054361000000001</v>
          </cell>
          <cell r="J336"/>
          <cell r="K336"/>
        </row>
        <row r="337">
          <cell r="B337" t="str">
            <v>CO19A</v>
          </cell>
          <cell r="C337">
            <v>0.88711264999999995</v>
          </cell>
          <cell r="D337">
            <v>0.88801664999999996</v>
          </cell>
          <cell r="E337">
            <v>0.88615838999999996</v>
          </cell>
          <cell r="F337">
            <v>0.88909039999999995</v>
          </cell>
          <cell r="G337">
            <v>0.82763434999999996</v>
          </cell>
          <cell r="H337">
            <v>0.82829483999999998</v>
          </cell>
          <cell r="I337">
            <v>0.82892387000000001</v>
          </cell>
          <cell r="J337"/>
          <cell r="K337"/>
        </row>
        <row r="338">
          <cell r="B338" t="str">
            <v>CO20A</v>
          </cell>
          <cell r="C338">
            <v>1.0079268400000001</v>
          </cell>
          <cell r="D338">
            <v>1.00896915</v>
          </cell>
          <cell r="E338">
            <v>1.0052874599999999</v>
          </cell>
          <cell r="F338">
            <v>1.0085335099999999</v>
          </cell>
          <cell r="G338">
            <v>1.00953973</v>
          </cell>
          <cell r="H338">
            <v>1.0104022500000001</v>
          </cell>
          <cell r="I338">
            <v>1.0111486999999999</v>
          </cell>
          <cell r="J338"/>
          <cell r="K338"/>
        </row>
        <row r="339">
          <cell r="B339" t="str">
            <v>CF82A</v>
          </cell>
          <cell r="C339">
            <v>6.7369719999999994E-2</v>
          </cell>
          <cell r="D339">
            <v>6.7421930000000005E-2</v>
          </cell>
          <cell r="E339">
            <v>6.7479380000000005E-2</v>
          </cell>
          <cell r="F339">
            <v>6.7626610000000004E-2</v>
          </cell>
          <cell r="G339">
            <v>1.87002E-2</v>
          </cell>
          <cell r="H339">
            <v>1.8712929999999999E-2</v>
          </cell>
          <cell r="I339">
            <v>1.8726949999999999E-2</v>
          </cell>
          <cell r="J339"/>
          <cell r="K339"/>
        </row>
        <row r="340">
          <cell r="B340" t="str">
            <v>M333A</v>
          </cell>
          <cell r="C340">
            <v>0.19060743999999999</v>
          </cell>
          <cell r="D340">
            <v>0.19076082</v>
          </cell>
          <cell r="E340">
            <v>0.19095110000000001</v>
          </cell>
          <cell r="F340">
            <v>0.19139523999999999</v>
          </cell>
          <cell r="G340">
            <v>0.19152807999999999</v>
          </cell>
          <cell r="H340">
            <v>0.19165983</v>
          </cell>
          <cell r="I340">
            <v>0.19179492000000001</v>
          </cell>
          <cell r="J340"/>
          <cell r="K340"/>
        </row>
        <row r="341">
          <cell r="B341" t="str">
            <v>M331A</v>
          </cell>
          <cell r="C341">
            <v>9.6819630000000004E-2</v>
          </cell>
          <cell r="D341">
            <v>9.6897540000000004E-2</v>
          </cell>
          <cell r="E341">
            <v>9.6994200000000003E-2</v>
          </cell>
          <cell r="F341">
            <v>9.7219799999999995E-2</v>
          </cell>
          <cell r="G341">
            <v>9.7287280000000004E-2</v>
          </cell>
          <cell r="H341">
            <v>9.7354200000000002E-2</v>
          </cell>
          <cell r="I341">
            <v>9.7422819999999993E-2</v>
          </cell>
          <cell r="J341"/>
          <cell r="K341"/>
        </row>
        <row r="342">
          <cell r="B342" t="str">
            <v>M327A</v>
          </cell>
          <cell r="C342">
            <v>2.6709210000000001E-2</v>
          </cell>
          <cell r="D342">
            <v>2.67307E-2</v>
          </cell>
          <cell r="E342">
            <v>2.6757369999999999E-2</v>
          </cell>
          <cell r="F342">
            <v>2.6819599999999999E-2</v>
          </cell>
          <cell r="G342">
            <v>2.6838219999999999E-2</v>
          </cell>
          <cell r="H342">
            <v>2.6856680000000001E-2</v>
          </cell>
          <cell r="I342">
            <v>2.6875610000000001E-2</v>
          </cell>
          <cell r="J342"/>
          <cell r="K342"/>
        </row>
        <row r="343">
          <cell r="B343" t="str">
            <v>M329A</v>
          </cell>
          <cell r="C343">
            <v>5.927528E-2</v>
          </cell>
          <cell r="D343">
            <v>5.9322979999999997E-2</v>
          </cell>
          <cell r="E343">
            <v>5.9382160000000003E-2</v>
          </cell>
          <cell r="F343">
            <v>5.9520280000000002E-2</v>
          </cell>
          <cell r="G343">
            <v>5.9561589999999998E-2</v>
          </cell>
          <cell r="H343">
            <v>5.9602559999999999E-2</v>
          </cell>
          <cell r="I343">
            <v>5.9644570000000001E-2</v>
          </cell>
          <cell r="J343"/>
          <cell r="K343"/>
        </row>
        <row r="344">
          <cell r="B344" t="str">
            <v>M322A</v>
          </cell>
          <cell r="C344">
            <v>7.8810179999999994E-2</v>
          </cell>
          <cell r="D344">
            <v>7.8873990000000005E-2</v>
          </cell>
          <cell r="E344">
            <v>7.8954440000000001E-2</v>
          </cell>
          <cell r="F344">
            <v>7.9139920000000002E-2</v>
          </cell>
          <cell r="G344">
            <v>7.9194829999999994E-2</v>
          </cell>
          <cell r="H344">
            <v>7.9249169999999994E-2</v>
          </cell>
          <cell r="I344">
            <v>7.9305139999999996E-2</v>
          </cell>
          <cell r="J344"/>
          <cell r="K344"/>
        </row>
        <row r="345">
          <cell r="B345" t="str">
            <v>M320A</v>
          </cell>
          <cell r="C345">
            <v>2.4081439999999999E-2</v>
          </cell>
          <cell r="D345">
            <v>2.4100940000000001E-2</v>
          </cell>
          <cell r="E345">
            <v>2.4125520000000001E-2</v>
          </cell>
          <cell r="F345">
            <v>2.4182200000000001E-2</v>
          </cell>
          <cell r="G345">
            <v>2.4198979999999998E-2</v>
          </cell>
          <cell r="H345">
            <v>2.421558E-2</v>
          </cell>
          <cell r="I345">
            <v>2.4232679999999999E-2</v>
          </cell>
          <cell r="J345"/>
          <cell r="K345"/>
        </row>
        <row r="346">
          <cell r="B346" t="str">
            <v>C199A</v>
          </cell>
          <cell r="C346">
            <v>2.5386100000000002E-2</v>
          </cell>
          <cell r="D346">
            <v>2.5406519999999998E-2</v>
          </cell>
          <cell r="E346">
            <v>2.5431869999999999E-2</v>
          </cell>
          <cell r="F346">
            <v>2.549102E-2</v>
          </cell>
          <cell r="G346">
            <v>2.550871E-2</v>
          </cell>
          <cell r="H346">
            <v>2.5526259999999999E-2</v>
          </cell>
          <cell r="I346">
            <v>2.5544250000000001E-2</v>
          </cell>
          <cell r="J346"/>
          <cell r="K346"/>
        </row>
        <row r="347">
          <cell r="B347" t="str">
            <v>CF83A</v>
          </cell>
          <cell r="C347">
            <v>0.24853217999999999</v>
          </cell>
          <cell r="D347">
            <v>0.24872477000000001</v>
          </cell>
          <cell r="E347">
            <v>0.24893672</v>
          </cell>
          <cell r="F347">
            <v>0.24947985</v>
          </cell>
          <cell r="G347">
            <v>0.18170379</v>
          </cell>
          <cell r="H347">
            <v>0.18182081999999999</v>
          </cell>
          <cell r="I347">
            <v>0.18195500000000001</v>
          </cell>
          <cell r="J347"/>
          <cell r="K347"/>
        </row>
        <row r="348">
          <cell r="B348" t="str">
            <v>CU57A</v>
          </cell>
          <cell r="C348">
            <v>0.21502315999999999</v>
          </cell>
          <cell r="D348">
            <v>0.21519680999999999</v>
          </cell>
          <cell r="E348">
            <v>0.21543802000000001</v>
          </cell>
          <cell r="F348">
            <v>0.21598149</v>
          </cell>
          <cell r="G348">
            <v>0.11956522999999999</v>
          </cell>
          <cell r="H348">
            <v>0.11964234</v>
          </cell>
          <cell r="I348">
            <v>0.11973072999999999</v>
          </cell>
          <cell r="J348"/>
          <cell r="K348"/>
        </row>
        <row r="349">
          <cell r="B349" t="str">
            <v>CU58A</v>
          </cell>
          <cell r="C349">
            <v>0.30277133000000001</v>
          </cell>
          <cell r="D349">
            <v>0.30302244</v>
          </cell>
          <cell r="E349">
            <v>0.30340075999999999</v>
          </cell>
          <cell r="F349">
            <v>0.30423043</v>
          </cell>
          <cell r="G349">
            <v>0.20654782999999999</v>
          </cell>
          <cell r="H349">
            <v>0.20668197999999999</v>
          </cell>
          <cell r="I349">
            <v>0.20683561</v>
          </cell>
          <cell r="J349"/>
          <cell r="K349"/>
        </row>
        <row r="350">
          <cell r="B350" t="str">
            <v>DT44A</v>
          </cell>
          <cell r="C350">
            <v>0.32175555</v>
          </cell>
          <cell r="D350">
            <v>0.16030923999999999</v>
          </cell>
          <cell r="E350">
            <v>0.16052791999999999</v>
          </cell>
          <cell r="F350">
            <v>0.16098144</v>
          </cell>
          <cell r="G350">
            <v>0.16110131</v>
          </cell>
          <cell r="H350">
            <v>0.16121506999999999</v>
          </cell>
          <cell r="I350">
            <v>0.16133057000000001</v>
          </cell>
          <cell r="J350"/>
          <cell r="K350"/>
        </row>
        <row r="351">
          <cell r="B351" t="str">
            <v>DT45A</v>
          </cell>
          <cell r="C351">
            <v>0.46192144000000002</v>
          </cell>
          <cell r="D351">
            <v>0.26520081000000001</v>
          </cell>
          <cell r="E351">
            <v>0.26557682999999999</v>
          </cell>
          <cell r="F351">
            <v>0.26636841</v>
          </cell>
          <cell r="G351">
            <v>0.26657177999999998</v>
          </cell>
          <cell r="H351">
            <v>0.26676229000000001</v>
          </cell>
          <cell r="I351">
            <v>0.26695523999999998</v>
          </cell>
          <cell r="J351"/>
          <cell r="K351"/>
        </row>
        <row r="352">
          <cell r="B352" t="str">
            <v>CU59A</v>
          </cell>
          <cell r="C352">
            <v>0.63041493000000004</v>
          </cell>
          <cell r="D352">
            <v>0.63095027999999997</v>
          </cell>
          <cell r="E352">
            <v>0.63172737000000001</v>
          </cell>
          <cell r="F352">
            <v>0.63355298999999998</v>
          </cell>
          <cell r="G352">
            <v>0.41081056999999999</v>
          </cell>
          <cell r="H352">
            <v>0.41108277999999998</v>
          </cell>
          <cell r="I352">
            <v>0.41139313999999999</v>
          </cell>
          <cell r="J352"/>
          <cell r="K352"/>
        </row>
        <row r="353">
          <cell r="B353" t="str">
            <v>M341A</v>
          </cell>
          <cell r="C353">
            <v>0.23392262</v>
          </cell>
          <cell r="D353">
            <v>0.23413233</v>
          </cell>
          <cell r="E353">
            <v>0.23469999999999999</v>
          </cell>
          <cell r="F353">
            <v>0.23520160000000001</v>
          </cell>
          <cell r="G353">
            <v>0.23529636000000001</v>
          </cell>
          <cell r="H353">
            <v>0.23546453000000001</v>
          </cell>
          <cell r="I353">
            <v>0.23563685000000001</v>
          </cell>
          <cell r="J353"/>
          <cell r="K353"/>
        </row>
        <row r="354">
          <cell r="B354" t="str">
            <v>C200A</v>
          </cell>
          <cell r="C354">
            <v>0.36378385000000002</v>
          </cell>
          <cell r="D354">
            <v>0.36410178999999998</v>
          </cell>
          <cell r="E354">
            <v>0.36456897999999999</v>
          </cell>
          <cell r="F354">
            <v>0.36565166999999998</v>
          </cell>
          <cell r="G354">
            <v>0.36593144</v>
          </cell>
          <cell r="H354">
            <v>0.36619369000000002</v>
          </cell>
          <cell r="I354">
            <v>0.36646242000000001</v>
          </cell>
          <cell r="J354"/>
          <cell r="K354"/>
        </row>
        <row r="355">
          <cell r="B355" t="str">
            <v>M343A</v>
          </cell>
          <cell r="C355">
            <v>0.35075334000000002</v>
          </cell>
          <cell r="D355">
            <v>0.35106135999999999</v>
          </cell>
          <cell r="E355">
            <v>0.35151437000000002</v>
          </cell>
          <cell r="F355">
            <v>0.35261068000000001</v>
          </cell>
          <cell r="G355">
            <v>0.35288603000000002</v>
          </cell>
          <cell r="H355">
            <v>0.35314131999999998</v>
          </cell>
          <cell r="I355">
            <v>0.35340254999999998</v>
          </cell>
          <cell r="J355"/>
          <cell r="K355"/>
        </row>
        <row r="356">
          <cell r="B356" t="str">
            <v>C201A</v>
          </cell>
          <cell r="C356">
            <v>0.40433445000000001</v>
          </cell>
          <cell r="D356">
            <v>0.40469168</v>
          </cell>
          <cell r="E356">
            <v>0.40520201</v>
          </cell>
          <cell r="F356">
            <v>0.40643519</v>
          </cell>
          <cell r="G356">
            <v>0.40675031</v>
          </cell>
          <cell r="H356">
            <v>0.40704368000000002</v>
          </cell>
          <cell r="I356">
            <v>0.40734380999999997</v>
          </cell>
          <cell r="J356"/>
          <cell r="K356"/>
        </row>
        <row r="357">
          <cell r="B357" t="str">
            <v>CF86A</v>
          </cell>
          <cell r="C357">
            <v>0.53525060999999996</v>
          </cell>
          <cell r="D357">
            <v>0.53571482000000004</v>
          </cell>
          <cell r="E357">
            <v>0.53638481999999998</v>
          </cell>
          <cell r="F357">
            <v>0.53802231</v>
          </cell>
          <cell r="G357">
            <v>0.36743710000000002</v>
          </cell>
          <cell r="H357">
            <v>0.36770594000000001</v>
          </cell>
          <cell r="I357">
            <v>0.36798687000000002</v>
          </cell>
          <cell r="J357"/>
          <cell r="K357"/>
        </row>
        <row r="358">
          <cell r="B358" t="str">
            <v>DT46A</v>
          </cell>
          <cell r="C358">
            <v>1.0167199200000001</v>
          </cell>
          <cell r="D358">
            <v>0.62513430999999997</v>
          </cell>
          <cell r="E358">
            <v>0.62601167999999996</v>
          </cell>
          <cell r="F358">
            <v>0.62804340000000003</v>
          </cell>
          <cell r="G358">
            <v>0.62854463000000005</v>
          </cell>
          <cell r="H358">
            <v>0.62900338</v>
          </cell>
          <cell r="I358">
            <v>0.62946606999999999</v>
          </cell>
          <cell r="J358"/>
          <cell r="K358"/>
        </row>
        <row r="359">
          <cell r="B359" t="str">
            <v>M345A</v>
          </cell>
          <cell r="C359">
            <v>0.42736681999999998</v>
          </cell>
          <cell r="D359">
            <v>0.42775018999999997</v>
          </cell>
          <cell r="E359">
            <v>0.42826718000000003</v>
          </cell>
          <cell r="F359">
            <v>0.42965768999999998</v>
          </cell>
          <cell r="G359">
            <v>0.43000118999999998</v>
          </cell>
          <cell r="H359">
            <v>0.43031574</v>
          </cell>
          <cell r="I359">
            <v>0.43063678999999999</v>
          </cell>
          <cell r="J359"/>
          <cell r="K359"/>
        </row>
        <row r="360">
          <cell r="B360" t="str">
            <v>CU60A</v>
          </cell>
          <cell r="C360">
            <v>1.0168219300000001</v>
          </cell>
          <cell r="D360">
            <v>1.01770268</v>
          </cell>
          <cell r="E360">
            <v>1.0188719399999999</v>
          </cell>
          <cell r="F360">
            <v>1.02192569</v>
          </cell>
          <cell r="G360">
            <v>0.70053321999999996</v>
          </cell>
          <cell r="H360">
            <v>0.70099979000000001</v>
          </cell>
          <cell r="I360">
            <v>0.70153069999999995</v>
          </cell>
          <cell r="J360"/>
          <cell r="K360"/>
        </row>
        <row r="361">
          <cell r="B361" t="str">
            <v>CU61A</v>
          </cell>
          <cell r="C361">
            <v>0.99295317999999999</v>
          </cell>
          <cell r="D361">
            <v>0.99393103000000005</v>
          </cell>
          <cell r="E361">
            <v>0.99550000000000005</v>
          </cell>
          <cell r="F361">
            <v>0.99839175000000002</v>
          </cell>
          <cell r="G361">
            <v>0.99913220999999997</v>
          </cell>
          <cell r="H361">
            <v>0.99979963999999999</v>
          </cell>
          <cell r="I361">
            <v>1.00055776</v>
          </cell>
          <cell r="J361"/>
          <cell r="K361"/>
        </row>
        <row r="362">
          <cell r="B362" t="str">
            <v>M347A</v>
          </cell>
          <cell r="C362">
            <v>0.52068219999999998</v>
          </cell>
          <cell r="D362">
            <v>0.52116324999999997</v>
          </cell>
          <cell r="E362">
            <v>0.52167286000000002</v>
          </cell>
          <cell r="F362">
            <v>0.52344632000000002</v>
          </cell>
          <cell r="G362">
            <v>0.52387894000000002</v>
          </cell>
          <cell r="H362">
            <v>0.52426865</v>
          </cell>
          <cell r="I362">
            <v>0.52466400999999996</v>
          </cell>
          <cell r="J362"/>
          <cell r="K362"/>
        </row>
        <row r="363">
          <cell r="B363" t="str">
            <v>C202A</v>
          </cell>
          <cell r="C363">
            <v>0.71849492000000004</v>
          </cell>
          <cell r="D363">
            <v>0.71918325000000005</v>
          </cell>
          <cell r="E363">
            <v>0.71952355000000001</v>
          </cell>
          <cell r="F363">
            <v>0.72199400999999996</v>
          </cell>
          <cell r="G363">
            <v>0.72260913000000004</v>
          </cell>
          <cell r="H363">
            <v>0.72315660000000004</v>
          </cell>
          <cell r="I363">
            <v>0.72370508</v>
          </cell>
          <cell r="J363"/>
          <cell r="K363"/>
        </row>
        <row r="364">
          <cell r="B364" t="str">
            <v>SK01A</v>
          </cell>
          <cell r="C364">
            <v>0.41625359000000001</v>
          </cell>
          <cell r="D364">
            <v>0.32026729999999998</v>
          </cell>
          <cell r="E364">
            <v>0.32060068000000003</v>
          </cell>
          <cell r="F364">
            <v>0.32173695000000002</v>
          </cell>
          <cell r="G364">
            <v>0.32201277</v>
          </cell>
          <cell r="H364">
            <v>0.32225827000000001</v>
          </cell>
          <cell r="I364">
            <v>0.32249972999999998</v>
          </cell>
          <cell r="J364"/>
          <cell r="K364"/>
        </row>
        <row r="365">
          <cell r="B365" t="str">
            <v>DT47A</v>
          </cell>
          <cell r="C365">
            <v>1.01311522</v>
          </cell>
          <cell r="D365">
            <v>0.99341031000000002</v>
          </cell>
          <cell r="E365">
            <v>0.99454737000000004</v>
          </cell>
          <cell r="F365">
            <v>0.99799011999999998</v>
          </cell>
          <cell r="G365">
            <v>0.99882298999999997</v>
          </cell>
          <cell r="H365">
            <v>0.99956884999999995</v>
          </cell>
          <cell r="I365">
            <v>1.0003151299999999</v>
          </cell>
          <cell r="J365"/>
          <cell r="K365"/>
        </row>
        <row r="366">
          <cell r="B366" t="str">
            <v>M349A</v>
          </cell>
          <cell r="C366">
            <v>0.63130010999999997</v>
          </cell>
          <cell r="D366">
            <v>0.63189753999999998</v>
          </cell>
          <cell r="E366">
            <v>0.63228983999999999</v>
          </cell>
          <cell r="F366">
            <v>0.63448892999999995</v>
          </cell>
          <cell r="G366">
            <v>0.63502709000000002</v>
          </cell>
          <cell r="H366">
            <v>0.63550618999999997</v>
          </cell>
          <cell r="I366">
            <v>0.63598865000000004</v>
          </cell>
          <cell r="J366"/>
          <cell r="K366"/>
        </row>
        <row r="367">
          <cell r="B367" t="str">
            <v>M351A</v>
          </cell>
          <cell r="C367">
            <v>0.69363041999999997</v>
          </cell>
          <cell r="D367">
            <v>0.69429116999999996</v>
          </cell>
          <cell r="E367">
            <v>0.69463675999999996</v>
          </cell>
          <cell r="F367">
            <v>0.69706279000000004</v>
          </cell>
          <cell r="G367">
            <v>0.69765812000000005</v>
          </cell>
          <cell r="H367">
            <v>0.69818652000000003</v>
          </cell>
          <cell r="I367">
            <v>0.69871738999999999</v>
          </cell>
          <cell r="J367"/>
          <cell r="K367"/>
        </row>
        <row r="368">
          <cell r="B368" t="str">
            <v>M353A</v>
          </cell>
          <cell r="C368">
            <v>0.78849597999999999</v>
          </cell>
          <cell r="D368">
            <v>0.78925034999999999</v>
          </cell>
          <cell r="E368">
            <v>0.78953068999999998</v>
          </cell>
          <cell r="F368">
            <v>0.79228166</v>
          </cell>
          <cell r="G368">
            <v>0.79296124000000001</v>
          </cell>
          <cell r="H368">
            <v>0.79356351000000003</v>
          </cell>
          <cell r="I368">
            <v>0.79416704000000005</v>
          </cell>
          <cell r="J368"/>
          <cell r="K368"/>
        </row>
        <row r="369">
          <cell r="B369" t="str">
            <v>M355A</v>
          </cell>
          <cell r="C369">
            <v>0.91740557</v>
          </cell>
          <cell r="D369">
            <v>0.91829477999999998</v>
          </cell>
          <cell r="E369">
            <v>0.91834532000000002</v>
          </cell>
          <cell r="F369">
            <v>0.92155686999999997</v>
          </cell>
          <cell r="G369">
            <v>0.92235787000000002</v>
          </cell>
          <cell r="H369">
            <v>0.92306387000000001</v>
          </cell>
          <cell r="I369">
            <v>0.92376754000000005</v>
          </cell>
          <cell r="J369"/>
          <cell r="K369"/>
        </row>
        <row r="370">
          <cell r="B370" t="str">
            <v>DT48A</v>
          </cell>
          <cell r="C370">
            <v>1.0111099400000001</v>
          </cell>
          <cell r="D370">
            <v>0.99144527000000005</v>
          </cell>
          <cell r="E370">
            <v>0.99227204000000002</v>
          </cell>
          <cell r="F370">
            <v>0.99597301000000005</v>
          </cell>
          <cell r="G370">
            <v>0.99684930000000005</v>
          </cell>
          <cell r="H370">
            <v>0.99761480000000002</v>
          </cell>
          <cell r="I370">
            <v>0.99837310999999995</v>
          </cell>
          <cell r="J370"/>
          <cell r="K370"/>
        </row>
        <row r="371">
          <cell r="B371" t="str">
            <v>DT49A</v>
          </cell>
          <cell r="C371">
            <v>1.00904014</v>
          </cell>
          <cell r="D371">
            <v>0.98940744000000003</v>
          </cell>
          <cell r="E371">
            <v>0.98976476999999996</v>
          </cell>
          <cell r="F371">
            <v>0.99359967000000005</v>
          </cell>
          <cell r="G371">
            <v>0.99450782999999998</v>
          </cell>
          <cell r="H371">
            <v>0.9952879</v>
          </cell>
          <cell r="I371">
            <v>0.99605297000000004</v>
          </cell>
          <cell r="J371"/>
          <cell r="K371"/>
        </row>
        <row r="372">
          <cell r="B372" t="str">
            <v>M357A</v>
          </cell>
          <cell r="C372">
            <v>1.04066547</v>
          </cell>
          <cell r="D372">
            <v>1.04169661</v>
          </cell>
          <cell r="E372">
            <v>1.04114968</v>
          </cell>
          <cell r="F372">
            <v>1.0448016600000001</v>
          </cell>
          <cell r="G372">
            <v>1.0457326300000001</v>
          </cell>
          <cell r="H372">
            <v>1.0465458999999999</v>
          </cell>
          <cell r="I372">
            <v>1.0473464100000001</v>
          </cell>
          <cell r="J372"/>
          <cell r="K372"/>
        </row>
        <row r="373">
          <cell r="B373" t="str">
            <v>DT50A</v>
          </cell>
          <cell r="C373">
            <v>1.00841636</v>
          </cell>
          <cell r="D373">
            <v>0.98878944999999996</v>
          </cell>
          <cell r="E373">
            <v>0.98895407999999996</v>
          </cell>
          <cell r="F373">
            <v>0.99277937999999999</v>
          </cell>
          <cell r="G373">
            <v>0.99369213999999995</v>
          </cell>
          <cell r="H373">
            <v>0.99447443000000002</v>
          </cell>
          <cell r="I373">
            <v>0.99523936999999996</v>
          </cell>
          <cell r="J373"/>
          <cell r="K373"/>
        </row>
        <row r="374">
          <cell r="B374" t="str">
            <v>WC08A</v>
          </cell>
          <cell r="C374">
            <v>0.91917406000000001</v>
          </cell>
          <cell r="D374">
            <v>0.81826155</v>
          </cell>
          <cell r="E374">
            <v>0.8171851</v>
          </cell>
          <cell r="F374">
            <v>0.82004131999999996</v>
          </cell>
          <cell r="G374">
            <v>0.82075540000000002</v>
          </cell>
          <cell r="H374">
            <v>0.82136439999999999</v>
          </cell>
          <cell r="I374">
            <v>0.82200236000000004</v>
          </cell>
          <cell r="J374"/>
          <cell r="K374"/>
        </row>
        <row r="375">
          <cell r="B375" t="str">
            <v>M359A</v>
          </cell>
          <cell r="C375">
            <v>1.0122099499999999</v>
          </cell>
          <cell r="D375">
            <v>1.01324367</v>
          </cell>
          <cell r="E375">
            <v>1.01241041</v>
          </cell>
          <cell r="F375">
            <v>1.0161020599999999</v>
          </cell>
          <cell r="G375">
            <v>1.01704415</v>
          </cell>
          <cell r="H375">
            <v>1.01785393</v>
          </cell>
          <cell r="I375">
            <v>1.01862981</v>
          </cell>
          <cell r="J375"/>
          <cell r="K375"/>
        </row>
        <row r="376">
          <cell r="B376" t="str">
            <v>SK02A</v>
          </cell>
          <cell r="C376">
            <v>0.76983424</v>
          </cell>
          <cell r="D376">
            <v>0.69091265999999996</v>
          </cell>
          <cell r="E376">
            <v>0.68951382000000006</v>
          </cell>
          <cell r="F376">
            <v>0.69188320999999997</v>
          </cell>
          <cell r="G376">
            <v>0.69253854999999997</v>
          </cell>
          <cell r="H376">
            <v>0.69310198999999995</v>
          </cell>
          <cell r="I376">
            <v>0.69362570999999995</v>
          </cell>
          <cell r="J376"/>
          <cell r="K376"/>
        </row>
        <row r="377">
          <cell r="B377" t="str">
            <v>DT54A</v>
          </cell>
          <cell r="C377">
            <v>0.98302480000000003</v>
          </cell>
          <cell r="D377">
            <v>0.98065654000000002</v>
          </cell>
          <cell r="E377">
            <v>0.97740302999999995</v>
          </cell>
          <cell r="F377">
            <v>0.98092436999999999</v>
          </cell>
          <cell r="G377">
            <v>0.98190966999999996</v>
          </cell>
          <cell r="H377">
            <v>0.98273295999999999</v>
          </cell>
          <cell r="I377">
            <v>0.98348944000000005</v>
          </cell>
          <cell r="J377"/>
          <cell r="K377"/>
        </row>
        <row r="378">
          <cell r="B378" t="str">
            <v>DT55A</v>
          </cell>
          <cell r="C378"/>
          <cell r="D378"/>
          <cell r="E378">
            <v>0.95487200000000005</v>
          </cell>
          <cell r="F378">
            <v>0.96048602000000005</v>
          </cell>
          <cell r="G378">
            <v>0.96142488000000004</v>
          </cell>
          <cell r="H378">
            <v>0.96220240999999995</v>
          </cell>
          <cell r="I378">
            <v>0.96295463000000003</v>
          </cell>
          <cell r="J378"/>
          <cell r="K378"/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</row>
        <row r="380">
          <cell r="B380" t="str">
            <v>Acciones en Pesos</v>
          </cell>
          <cell r="C380"/>
          <cell r="D380"/>
          <cell r="E380"/>
          <cell r="F380"/>
          <cell r="G380"/>
          <cell r="H380"/>
          <cell r="I380"/>
          <cell r="J380"/>
          <cell r="K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</row>
        <row r="382">
          <cell r="B382" t="str">
            <v>GGAL</v>
          </cell>
          <cell r="C382">
            <v>5940</v>
          </cell>
          <cell r="D382">
            <v>5750</v>
          </cell>
          <cell r="E382">
            <v>5900</v>
          </cell>
          <cell r="F382">
            <v>5805</v>
          </cell>
          <cell r="G382">
            <v>5690</v>
          </cell>
          <cell r="H382">
            <v>5765</v>
          </cell>
          <cell r="I382">
            <v>6015</v>
          </cell>
          <cell r="J382"/>
          <cell r="K382"/>
        </row>
        <row r="383">
          <cell r="B383" t="str">
            <v>TXAR</v>
          </cell>
          <cell r="C383">
            <v>702.5</v>
          </cell>
          <cell r="D383">
            <v>698.5</v>
          </cell>
          <cell r="E383">
            <v>723.5</v>
          </cell>
          <cell r="F383">
            <v>709</v>
          </cell>
          <cell r="G383">
            <v>693</v>
          </cell>
          <cell r="H383">
            <v>717.5</v>
          </cell>
          <cell r="I383">
            <v>767</v>
          </cell>
          <cell r="J383"/>
          <cell r="K383"/>
        </row>
        <row r="384">
          <cell r="B384" t="str">
            <v>YPFD</v>
          </cell>
          <cell r="C384">
            <v>8330</v>
          </cell>
          <cell r="D384">
            <v>8460</v>
          </cell>
          <cell r="E384">
            <v>8270</v>
          </cell>
          <cell r="F384">
            <v>8430</v>
          </cell>
          <cell r="G384">
            <v>8235</v>
          </cell>
          <cell r="H384">
            <v>8220</v>
          </cell>
          <cell r="I384">
            <v>8240</v>
          </cell>
          <cell r="J384"/>
          <cell r="K384"/>
        </row>
        <row r="385">
          <cell r="B385" t="str">
            <v>PAMP</v>
          </cell>
          <cell r="C385">
            <v>5235</v>
          </cell>
          <cell r="D385">
            <v>5220</v>
          </cell>
          <cell r="E385">
            <v>5205</v>
          </cell>
          <cell r="F385">
            <v>5240</v>
          </cell>
          <cell r="G385">
            <v>5165</v>
          </cell>
          <cell r="H385">
            <v>5080</v>
          </cell>
          <cell r="I385">
            <v>5100</v>
          </cell>
          <cell r="J385"/>
          <cell r="K385"/>
        </row>
        <row r="386">
          <cell r="B386" t="str">
            <v>BBAR</v>
          </cell>
          <cell r="C386">
            <v>6965</v>
          </cell>
          <cell r="D386">
            <v>6760</v>
          </cell>
          <cell r="E386">
            <v>6980</v>
          </cell>
          <cell r="F386">
            <v>6950</v>
          </cell>
          <cell r="G386">
            <v>6820</v>
          </cell>
          <cell r="H386">
            <v>6785</v>
          </cell>
          <cell r="I386">
            <v>6940</v>
          </cell>
          <cell r="J386"/>
          <cell r="K386"/>
        </row>
        <row r="387">
          <cell r="B387" t="str">
            <v>ALUA</v>
          </cell>
          <cell r="C387">
            <v>849.5</v>
          </cell>
          <cell r="D387">
            <v>830</v>
          </cell>
          <cell r="E387">
            <v>845</v>
          </cell>
          <cell r="F387">
            <v>833</v>
          </cell>
          <cell r="G387">
            <v>816.5</v>
          </cell>
          <cell r="H387">
            <v>821</v>
          </cell>
          <cell r="I387">
            <v>835</v>
          </cell>
          <cell r="J387"/>
          <cell r="K387"/>
        </row>
        <row r="388">
          <cell r="B388" t="str">
            <v>LOMA</v>
          </cell>
          <cell r="C388">
            <v>3222.5</v>
          </cell>
          <cell r="D388">
            <v>3215</v>
          </cell>
          <cell r="E388">
            <v>3257.5</v>
          </cell>
          <cell r="F388">
            <v>3257.5</v>
          </cell>
          <cell r="G388">
            <v>3232.5</v>
          </cell>
          <cell r="H388">
            <v>3142.5</v>
          </cell>
          <cell r="I388">
            <v>3152.5</v>
          </cell>
          <cell r="J388"/>
          <cell r="K388"/>
        </row>
        <row r="389">
          <cell r="B389" t="str">
            <v>CEPU</v>
          </cell>
          <cell r="C389">
            <v>2119</v>
          </cell>
          <cell r="D389">
            <v>2056</v>
          </cell>
          <cell r="E389">
            <v>2071</v>
          </cell>
          <cell r="F389">
            <v>2078</v>
          </cell>
          <cell r="G389">
            <v>2034</v>
          </cell>
          <cell r="H389">
            <v>1993</v>
          </cell>
          <cell r="I389">
            <v>1995</v>
          </cell>
          <cell r="J389"/>
          <cell r="K389"/>
        </row>
        <row r="390">
          <cell r="B390" t="str">
            <v>BYMA</v>
          </cell>
          <cell r="C390">
            <v>257.75</v>
          </cell>
          <cell r="D390">
            <v>256.75</v>
          </cell>
          <cell r="E390">
            <v>257.25</v>
          </cell>
          <cell r="F390">
            <v>252</v>
          </cell>
          <cell r="G390">
            <v>242</v>
          </cell>
          <cell r="H390">
            <v>234.75</v>
          </cell>
          <cell r="I390">
            <v>240</v>
          </cell>
          <cell r="J390"/>
          <cell r="K390"/>
        </row>
        <row r="391">
          <cell r="B391" t="str">
            <v>SUPV</v>
          </cell>
          <cell r="C391">
            <v>2331</v>
          </cell>
          <cell r="D391">
            <v>2273</v>
          </cell>
          <cell r="E391">
            <v>2386</v>
          </cell>
          <cell r="F391">
            <v>2352</v>
          </cell>
          <cell r="G391">
            <v>2333</v>
          </cell>
          <cell r="H391">
            <v>2333</v>
          </cell>
          <cell r="I391">
            <v>2426</v>
          </cell>
          <cell r="J391"/>
          <cell r="K391"/>
        </row>
        <row r="392">
          <cell r="B392" t="str">
            <v>TGNO4</v>
          </cell>
          <cell r="C392">
            <v>3252.5</v>
          </cell>
          <cell r="D392">
            <v>3195</v>
          </cell>
          <cell r="E392">
            <v>3265</v>
          </cell>
          <cell r="F392">
            <v>3160</v>
          </cell>
          <cell r="G392">
            <v>3122.5</v>
          </cell>
          <cell r="H392">
            <v>3022.5</v>
          </cell>
          <cell r="I392">
            <v>2972.5</v>
          </cell>
          <cell r="J392"/>
          <cell r="K392"/>
        </row>
        <row r="393">
          <cell r="B393" t="str">
            <v>CRES</v>
          </cell>
          <cell r="C393">
            <v>1851</v>
          </cell>
          <cell r="D393">
            <v>1793</v>
          </cell>
          <cell r="E393">
            <v>1840</v>
          </cell>
          <cell r="F393">
            <v>1860</v>
          </cell>
          <cell r="G393">
            <v>1842</v>
          </cell>
          <cell r="H393">
            <v>1811</v>
          </cell>
          <cell r="I393">
            <v>1818</v>
          </cell>
          <cell r="J393"/>
          <cell r="K393"/>
        </row>
        <row r="394">
          <cell r="B394" t="str">
            <v>TECO2</v>
          </cell>
          <cell r="C394">
            <v>3977.5</v>
          </cell>
          <cell r="D394">
            <v>4017.5</v>
          </cell>
          <cell r="E394">
            <v>4052.5</v>
          </cell>
          <cell r="F394">
            <v>4042.5</v>
          </cell>
          <cell r="G394">
            <v>3960</v>
          </cell>
          <cell r="H394">
            <v>4045</v>
          </cell>
          <cell r="I394">
            <v>4275</v>
          </cell>
          <cell r="J394"/>
          <cell r="K394"/>
        </row>
        <row r="395">
          <cell r="B395" t="str">
            <v>VALO</v>
          </cell>
          <cell r="C395">
            <v>540.5</v>
          </cell>
          <cell r="D395">
            <v>529.5</v>
          </cell>
          <cell r="E395">
            <v>525</v>
          </cell>
          <cell r="F395">
            <v>529</v>
          </cell>
          <cell r="G395">
            <v>523</v>
          </cell>
          <cell r="H395">
            <v>527</v>
          </cell>
          <cell r="I395">
            <v>525</v>
          </cell>
          <cell r="J395"/>
          <cell r="K395"/>
        </row>
        <row r="396">
          <cell r="B396" t="str">
            <v>TGSU2</v>
          </cell>
          <cell r="C396">
            <v>8415</v>
          </cell>
          <cell r="D396">
            <v>8395</v>
          </cell>
          <cell r="E396">
            <v>8370</v>
          </cell>
          <cell r="F396">
            <v>8445</v>
          </cell>
          <cell r="G396">
            <v>8365</v>
          </cell>
          <cell r="H396">
            <v>8435</v>
          </cell>
          <cell r="I396">
            <v>8560</v>
          </cell>
          <cell r="J396"/>
          <cell r="K396"/>
        </row>
        <row r="397">
          <cell r="B397" t="str">
            <v>AUSO</v>
          </cell>
          <cell r="C397">
            <v>2900</v>
          </cell>
          <cell r="D397">
            <v>2855</v>
          </cell>
          <cell r="E397">
            <v>2790</v>
          </cell>
          <cell r="F397">
            <v>2760</v>
          </cell>
          <cell r="G397">
            <v>2770</v>
          </cell>
          <cell r="H397">
            <v>2740</v>
          </cell>
          <cell r="I397">
            <v>2785</v>
          </cell>
          <cell r="J397"/>
          <cell r="K397"/>
        </row>
        <row r="398">
          <cell r="B398" t="str">
            <v>METR</v>
          </cell>
          <cell r="C398">
            <v>2358</v>
          </cell>
          <cell r="D398">
            <v>2335</v>
          </cell>
          <cell r="E398">
            <v>2351</v>
          </cell>
          <cell r="F398">
            <v>2345</v>
          </cell>
          <cell r="G398">
            <v>2345</v>
          </cell>
          <cell r="H398">
            <v>2341</v>
          </cell>
          <cell r="I398">
            <v>2354</v>
          </cell>
          <cell r="J398"/>
          <cell r="K398"/>
        </row>
        <row r="399">
          <cell r="B399" t="str">
            <v>ECOG</v>
          </cell>
          <cell r="C399">
            <v>2433</v>
          </cell>
          <cell r="D399">
            <v>2391</v>
          </cell>
          <cell r="E399">
            <v>2380</v>
          </cell>
          <cell r="F399">
            <v>2370</v>
          </cell>
          <cell r="G399">
            <v>2358</v>
          </cell>
          <cell r="H399">
            <v>2292</v>
          </cell>
          <cell r="I399">
            <v>2288</v>
          </cell>
          <cell r="J399"/>
          <cell r="K399"/>
        </row>
        <row r="400">
          <cell r="B400" t="str">
            <v>COME</v>
          </cell>
          <cell r="C400">
            <v>39.07</v>
          </cell>
          <cell r="D400">
            <v>38.43</v>
          </cell>
          <cell r="E400">
            <v>38.28</v>
          </cell>
          <cell r="F400">
            <v>37.700000000000003</v>
          </cell>
          <cell r="G400">
            <v>36.33</v>
          </cell>
          <cell r="H400">
            <v>37.68</v>
          </cell>
          <cell r="I400">
            <v>37.590000000000003</v>
          </cell>
          <cell r="J400"/>
          <cell r="K400"/>
        </row>
        <row r="401">
          <cell r="B401" t="str">
            <v>MIRG</v>
          </cell>
          <cell r="C401">
            <v>1740</v>
          </cell>
          <cell r="D401">
            <v>1745</v>
          </cell>
          <cell r="E401">
            <v>1710</v>
          </cell>
          <cell r="F401">
            <v>1705</v>
          </cell>
          <cell r="G401">
            <v>1710</v>
          </cell>
          <cell r="H401">
            <v>1710</v>
          </cell>
          <cell r="I401">
            <v>1745</v>
          </cell>
          <cell r="J401"/>
          <cell r="K401"/>
        </row>
        <row r="402">
          <cell r="B402" t="str">
            <v>CVH</v>
          </cell>
          <cell r="C402">
            <v>9260</v>
          </cell>
          <cell r="D402">
            <v>9250</v>
          </cell>
          <cell r="E402">
            <v>9220</v>
          </cell>
          <cell r="F402">
            <v>9200</v>
          </cell>
          <cell r="G402">
            <v>9090</v>
          </cell>
          <cell r="H402">
            <v>9140</v>
          </cell>
          <cell r="I402">
            <v>9400</v>
          </cell>
          <cell r="J402"/>
          <cell r="K402"/>
        </row>
        <row r="403">
          <cell r="B403" t="str">
            <v>TRAN</v>
          </cell>
          <cell r="C403">
            <v>2705</v>
          </cell>
          <cell r="D403">
            <v>2682.5</v>
          </cell>
          <cell r="E403">
            <v>2700</v>
          </cell>
          <cell r="F403">
            <v>2560</v>
          </cell>
          <cell r="G403">
            <v>2419</v>
          </cell>
          <cell r="H403">
            <v>2408</v>
          </cell>
          <cell r="I403">
            <v>2415</v>
          </cell>
          <cell r="J403"/>
          <cell r="K403"/>
        </row>
        <row r="404">
          <cell r="B404" t="str">
            <v>HARG</v>
          </cell>
          <cell r="C404">
            <v>1330</v>
          </cell>
          <cell r="D404">
            <v>1340</v>
          </cell>
          <cell r="E404">
            <v>1320</v>
          </cell>
          <cell r="F404">
            <v>1300</v>
          </cell>
          <cell r="G404">
            <v>1260</v>
          </cell>
          <cell r="H404">
            <v>1260</v>
          </cell>
          <cell r="I404">
            <v>1285</v>
          </cell>
          <cell r="J404"/>
          <cell r="K404"/>
        </row>
        <row r="405">
          <cell r="B405" t="str">
            <v>EDN</v>
          </cell>
          <cell r="C405">
            <v>1653</v>
          </cell>
          <cell r="D405">
            <v>1660</v>
          </cell>
          <cell r="E405">
            <v>1672</v>
          </cell>
          <cell r="F405">
            <v>1660</v>
          </cell>
          <cell r="G405">
            <v>1575</v>
          </cell>
          <cell r="H405">
            <v>1549</v>
          </cell>
          <cell r="I405">
            <v>1542</v>
          </cell>
          <cell r="J405"/>
          <cell r="K405"/>
        </row>
        <row r="406">
          <cell r="B406" t="str">
            <v>MASU</v>
          </cell>
          <cell r="C406">
            <v>0.01</v>
          </cell>
          <cell r="D406">
            <v>0.01</v>
          </cell>
          <cell r="E406">
            <v>0.01</v>
          </cell>
          <cell r="F406">
            <v>0.01</v>
          </cell>
          <cell r="G406">
            <v>0.01</v>
          </cell>
          <cell r="H406">
            <v>0.01</v>
          </cell>
          <cell r="I406">
            <v>0.01</v>
          </cell>
          <cell r="J406"/>
          <cell r="K406"/>
        </row>
        <row r="407">
          <cell r="B407" t="str">
            <v>INVJ</v>
          </cell>
          <cell r="C407">
            <v>389.5</v>
          </cell>
          <cell r="D407">
            <v>388</v>
          </cell>
          <cell r="E407">
            <v>385.5</v>
          </cell>
          <cell r="F407">
            <v>379</v>
          </cell>
          <cell r="G407">
            <v>381</v>
          </cell>
          <cell r="H407">
            <v>369</v>
          </cell>
          <cell r="I407">
            <v>374.5</v>
          </cell>
          <cell r="J407"/>
          <cell r="K407"/>
        </row>
        <row r="408">
          <cell r="B408" t="str">
            <v>IRSA</v>
          </cell>
          <cell r="C408">
            <v>2290</v>
          </cell>
          <cell r="D408">
            <v>2225</v>
          </cell>
          <cell r="E408">
            <v>2270</v>
          </cell>
          <cell r="F408">
            <v>2285</v>
          </cell>
          <cell r="G408">
            <v>2305</v>
          </cell>
          <cell r="H408">
            <v>2270</v>
          </cell>
          <cell r="I408">
            <v>2305</v>
          </cell>
          <cell r="J408"/>
          <cell r="K408"/>
        </row>
        <row r="409">
          <cell r="B409" t="str">
            <v>DGCE</v>
          </cell>
          <cell r="C409">
            <v>1850</v>
          </cell>
          <cell r="D409">
            <v>1850</v>
          </cell>
          <cell r="E409">
            <v>1850</v>
          </cell>
          <cell r="F409">
            <v>1850</v>
          </cell>
          <cell r="G409">
            <v>1850</v>
          </cell>
          <cell r="H409">
            <v>1850</v>
          </cell>
          <cell r="I409">
            <v>1850</v>
          </cell>
          <cell r="J409"/>
          <cell r="K409"/>
        </row>
        <row r="410">
          <cell r="B410" t="str">
            <v>BHIP</v>
          </cell>
          <cell r="C410">
            <v>259</v>
          </cell>
          <cell r="D410">
            <v>251</v>
          </cell>
          <cell r="E410">
            <v>253.5</v>
          </cell>
          <cell r="F410">
            <v>246.5</v>
          </cell>
          <cell r="G410">
            <v>243.5</v>
          </cell>
          <cell r="H410">
            <v>240.5</v>
          </cell>
          <cell r="I410">
            <v>241</v>
          </cell>
          <cell r="J410"/>
          <cell r="K410"/>
        </row>
        <row r="411"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</row>
        <row r="412">
          <cell r="B412" t="str">
            <v>Acciones en USD</v>
          </cell>
          <cell r="C412"/>
          <cell r="D412"/>
          <cell r="E412"/>
          <cell r="F412"/>
          <cell r="G412"/>
          <cell r="H412"/>
          <cell r="I412"/>
          <cell r="J412"/>
          <cell r="K412"/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</row>
        <row r="414">
          <cell r="B414" t="str">
            <v>YPFDD</v>
          </cell>
          <cell r="C414">
            <v>5.43</v>
          </cell>
          <cell r="D414">
            <v>5.51</v>
          </cell>
          <cell r="E414">
            <v>5.38</v>
          </cell>
          <cell r="F414">
            <v>5.48</v>
          </cell>
          <cell r="G414">
            <v>5.36</v>
          </cell>
          <cell r="H414">
            <v>5.31</v>
          </cell>
          <cell r="I414">
            <v>5.29</v>
          </cell>
          <cell r="J414"/>
          <cell r="K414"/>
        </row>
        <row r="415">
          <cell r="B415" t="str">
            <v>VALOD</v>
          </cell>
          <cell r="C415">
            <v>0.34899999999999998</v>
          </cell>
          <cell r="D415">
            <v>0.34599999999999997</v>
          </cell>
          <cell r="E415">
            <v>0.34300000000000003</v>
          </cell>
          <cell r="F415">
            <v>0.34499999999999997</v>
          </cell>
          <cell r="G415">
            <v>0.34399999999999997</v>
          </cell>
          <cell r="H415">
            <v>0.33700000000000002</v>
          </cell>
          <cell r="I415">
            <v>0.34200000000000003</v>
          </cell>
          <cell r="J415"/>
          <cell r="K415"/>
        </row>
        <row r="416">
          <cell r="B416" t="str">
            <v>LOMAD</v>
          </cell>
          <cell r="C416">
            <v>2.085</v>
          </cell>
          <cell r="D416">
            <v>2.085</v>
          </cell>
          <cell r="E416">
            <v>2.1349999999999998</v>
          </cell>
          <cell r="F416">
            <v>2.1150000000000002</v>
          </cell>
          <cell r="G416">
            <v>2.09</v>
          </cell>
          <cell r="H416">
            <v>2.0299999999999998</v>
          </cell>
          <cell r="I416">
            <v>2.0099999999999998</v>
          </cell>
          <cell r="J416"/>
          <cell r="K416"/>
        </row>
        <row r="417">
          <cell r="B417" t="str">
            <v>PAMPD</v>
          </cell>
          <cell r="C417">
            <v>3.4</v>
          </cell>
          <cell r="D417">
            <v>3.39</v>
          </cell>
          <cell r="E417">
            <v>3.4</v>
          </cell>
          <cell r="F417">
            <v>3.4049999999999998</v>
          </cell>
          <cell r="G417">
            <v>3.36</v>
          </cell>
          <cell r="H417">
            <v>3.3</v>
          </cell>
          <cell r="I417">
            <v>3.2749999999999999</v>
          </cell>
          <cell r="J417"/>
          <cell r="K417"/>
        </row>
        <row r="418">
          <cell r="B418" t="str">
            <v>EDND</v>
          </cell>
          <cell r="C418">
            <v>1.085</v>
          </cell>
          <cell r="D418">
            <v>1.07</v>
          </cell>
          <cell r="E418">
            <v>1.0900000000000001</v>
          </cell>
          <cell r="F418">
            <v>1.07</v>
          </cell>
          <cell r="G418">
            <v>1.02</v>
          </cell>
          <cell r="H418">
            <v>1.0049999999999999</v>
          </cell>
          <cell r="I418">
            <v>1</v>
          </cell>
          <cell r="J418"/>
          <cell r="K418"/>
        </row>
        <row r="419">
          <cell r="B419" t="str">
            <v>BBARD</v>
          </cell>
          <cell r="C419">
            <v>4.5350000000000001</v>
          </cell>
          <cell r="D419">
            <v>4.4050000000000002</v>
          </cell>
          <cell r="E419">
            <v>4.5449999999999999</v>
          </cell>
          <cell r="F419">
            <v>4.49</v>
          </cell>
          <cell r="G419">
            <v>4.45</v>
          </cell>
          <cell r="H419">
            <v>4.41</v>
          </cell>
          <cell r="I419">
            <v>4.4450000000000003</v>
          </cell>
          <cell r="J419"/>
          <cell r="K419"/>
        </row>
        <row r="420">
          <cell r="B420" t="str">
            <v>GGALD</v>
          </cell>
          <cell r="C420">
            <v>3.87</v>
          </cell>
          <cell r="D420">
            <v>3.75</v>
          </cell>
          <cell r="E420">
            <v>3.84</v>
          </cell>
          <cell r="F420">
            <v>3.77</v>
          </cell>
          <cell r="G420">
            <v>3.7050000000000001</v>
          </cell>
          <cell r="H420">
            <v>3.75</v>
          </cell>
          <cell r="I420">
            <v>3.8849999999999998</v>
          </cell>
          <cell r="J420"/>
          <cell r="K420"/>
        </row>
        <row r="421">
          <cell r="B421" t="str">
            <v>SUPVD</v>
          </cell>
          <cell r="C421">
            <v>1.5349999999999999</v>
          </cell>
          <cell r="D421">
            <v>1.4850000000000001</v>
          </cell>
          <cell r="E421">
            <v>1.55</v>
          </cell>
          <cell r="F421">
            <v>1.5349999999999999</v>
          </cell>
          <cell r="G421">
            <v>1.5149999999999999</v>
          </cell>
          <cell r="H421">
            <v>1.52</v>
          </cell>
          <cell r="I421">
            <v>1.57</v>
          </cell>
          <cell r="J421"/>
          <cell r="K421"/>
        </row>
        <row r="422"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</row>
        <row r="423">
          <cell r="B423" t="str">
            <v>Cedears en Pesos</v>
          </cell>
          <cell r="C423"/>
          <cell r="D423"/>
          <cell r="E423"/>
          <cell r="F423"/>
          <cell r="G423"/>
          <cell r="H423"/>
          <cell r="I423"/>
          <cell r="J423"/>
          <cell r="K423"/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</row>
        <row r="425">
          <cell r="B425" t="str">
            <v>MELI</v>
          </cell>
          <cell r="C425">
            <v>25220</v>
          </cell>
          <cell r="D425">
            <v>24690</v>
          </cell>
          <cell r="E425">
            <v>24970</v>
          </cell>
          <cell r="F425">
            <v>24740</v>
          </cell>
          <cell r="G425">
            <v>24890</v>
          </cell>
          <cell r="H425">
            <v>25460</v>
          </cell>
          <cell r="I425">
            <v>25280</v>
          </cell>
          <cell r="J425"/>
          <cell r="K425"/>
        </row>
        <row r="426">
          <cell r="B426" t="str">
            <v>NU</v>
          </cell>
          <cell r="C426">
            <v>12550</v>
          </cell>
          <cell r="D426">
            <v>11990</v>
          </cell>
          <cell r="E426">
            <v>11970</v>
          </cell>
          <cell r="F426">
            <v>11820</v>
          </cell>
          <cell r="G426">
            <v>11810</v>
          </cell>
          <cell r="H426">
            <v>12300</v>
          </cell>
          <cell r="I426">
            <v>12340</v>
          </cell>
          <cell r="J426"/>
          <cell r="K426"/>
        </row>
        <row r="427">
          <cell r="B427" t="str">
            <v>VALE</v>
          </cell>
          <cell r="C427">
            <v>10800</v>
          </cell>
          <cell r="D427">
            <v>10710</v>
          </cell>
          <cell r="E427">
            <v>10540</v>
          </cell>
          <cell r="F427">
            <v>10590</v>
          </cell>
          <cell r="G427">
            <v>10680</v>
          </cell>
          <cell r="H427">
            <v>10630</v>
          </cell>
          <cell r="I427">
            <v>10400</v>
          </cell>
          <cell r="J427"/>
          <cell r="K427"/>
        </row>
        <row r="428">
          <cell r="B428" t="str">
            <v>BBDC3</v>
          </cell>
          <cell r="C428">
            <v>6100</v>
          </cell>
          <cell r="D428">
            <v>6100</v>
          </cell>
          <cell r="E428">
            <v>5995</v>
          </cell>
          <cell r="F428">
            <v>5795</v>
          </cell>
          <cell r="G428">
            <v>5725</v>
          </cell>
          <cell r="H428">
            <v>5960</v>
          </cell>
          <cell r="I428">
            <v>5870</v>
          </cell>
          <cell r="J428"/>
          <cell r="K428"/>
        </row>
        <row r="429">
          <cell r="B429" t="str">
            <v>VALE3</v>
          </cell>
          <cell r="C429">
            <v>21610</v>
          </cell>
          <cell r="D429">
            <v>21350</v>
          </cell>
          <cell r="E429">
            <v>21080</v>
          </cell>
          <cell r="F429">
            <v>21240</v>
          </cell>
          <cell r="G429">
            <v>21480</v>
          </cell>
          <cell r="H429">
            <v>21300</v>
          </cell>
          <cell r="I429">
            <v>20710</v>
          </cell>
          <cell r="J429"/>
          <cell r="K429"/>
        </row>
        <row r="430">
          <cell r="B430" t="str">
            <v>ITUB3</v>
          </cell>
          <cell r="C430">
            <v>17400</v>
          </cell>
          <cell r="D430">
            <v>17070</v>
          </cell>
          <cell r="E430">
            <v>18320</v>
          </cell>
          <cell r="F430">
            <v>16780</v>
          </cell>
          <cell r="G430">
            <v>16650</v>
          </cell>
          <cell r="H430">
            <v>17230</v>
          </cell>
          <cell r="I430">
            <v>17430</v>
          </cell>
          <cell r="J430"/>
          <cell r="K430"/>
        </row>
        <row r="431">
          <cell r="B431" t="str">
            <v>PETR3</v>
          </cell>
          <cell r="C431">
            <v>20480</v>
          </cell>
          <cell r="D431">
            <v>20890</v>
          </cell>
          <cell r="E431">
            <v>20780</v>
          </cell>
          <cell r="F431">
            <v>21240</v>
          </cell>
          <cell r="G431">
            <v>22260</v>
          </cell>
          <cell r="H431">
            <v>21090</v>
          </cell>
          <cell r="I431">
            <v>21340</v>
          </cell>
          <cell r="J431"/>
          <cell r="K431"/>
        </row>
        <row r="432">
          <cell r="B432" t="str">
            <v>SUZB3</v>
          </cell>
          <cell r="C432">
            <v>13950</v>
          </cell>
          <cell r="D432">
            <v>13830</v>
          </cell>
          <cell r="E432">
            <v>13590</v>
          </cell>
          <cell r="F432">
            <v>13590</v>
          </cell>
          <cell r="G432">
            <v>13840</v>
          </cell>
          <cell r="H432">
            <v>13830</v>
          </cell>
          <cell r="I432">
            <v>13920</v>
          </cell>
          <cell r="J432"/>
          <cell r="K432"/>
        </row>
        <row r="433">
          <cell r="B433" t="str">
            <v>SBSP3</v>
          </cell>
          <cell r="C433">
            <v>10520</v>
          </cell>
          <cell r="D433">
            <v>10540</v>
          </cell>
          <cell r="E433">
            <v>10280</v>
          </cell>
          <cell r="F433">
            <v>10140</v>
          </cell>
          <cell r="G433">
            <v>10310</v>
          </cell>
          <cell r="H433">
            <v>10650</v>
          </cell>
          <cell r="I433">
            <v>10520</v>
          </cell>
          <cell r="J433"/>
          <cell r="K433"/>
        </row>
        <row r="434">
          <cell r="B434" t="str">
            <v>ABEV3</v>
          </cell>
          <cell r="C434">
            <v>5175</v>
          </cell>
          <cell r="D434">
            <v>5320</v>
          </cell>
          <cell r="E434">
            <v>5290</v>
          </cell>
          <cell r="F434">
            <v>5390</v>
          </cell>
          <cell r="G434">
            <v>5280</v>
          </cell>
          <cell r="H434">
            <v>5500</v>
          </cell>
          <cell r="I434">
            <v>5385</v>
          </cell>
          <cell r="J434"/>
          <cell r="K434"/>
        </row>
        <row r="435">
          <cell r="B435" t="str">
            <v>MSFT</v>
          </cell>
          <cell r="C435">
            <v>29200</v>
          </cell>
          <cell r="D435">
            <v>28700</v>
          </cell>
          <cell r="E435">
            <v>29060</v>
          </cell>
          <cell r="F435">
            <v>28520</v>
          </cell>
          <cell r="G435">
            <v>28860</v>
          </cell>
          <cell r="H435">
            <v>28840</v>
          </cell>
          <cell r="I435">
            <v>29000</v>
          </cell>
          <cell r="J435"/>
          <cell r="K435"/>
        </row>
        <row r="436">
          <cell r="B436" t="str">
            <v>META</v>
          </cell>
          <cell r="C436">
            <v>51250</v>
          </cell>
          <cell r="D436">
            <v>49680</v>
          </cell>
          <cell r="E436">
            <v>49640</v>
          </cell>
          <cell r="F436">
            <v>47680</v>
          </cell>
          <cell r="G436">
            <v>47720</v>
          </cell>
          <cell r="H436">
            <v>47040</v>
          </cell>
          <cell r="I436">
            <v>47740</v>
          </cell>
          <cell r="J436"/>
          <cell r="K436"/>
        </row>
        <row r="437">
          <cell r="B437" t="str">
            <v>ITUB</v>
          </cell>
          <cell r="C437">
            <v>15980</v>
          </cell>
          <cell r="D437">
            <v>15640</v>
          </cell>
          <cell r="E437">
            <v>15370</v>
          </cell>
          <cell r="F437">
            <v>15310</v>
          </cell>
          <cell r="G437">
            <v>15380</v>
          </cell>
          <cell r="H437">
            <v>15870</v>
          </cell>
          <cell r="I437">
            <v>15870</v>
          </cell>
          <cell r="J437"/>
          <cell r="K437"/>
        </row>
        <row r="438">
          <cell r="B438" t="str">
            <v>PBR</v>
          </cell>
          <cell r="C438">
            <v>40980</v>
          </cell>
          <cell r="D438">
            <v>41800</v>
          </cell>
          <cell r="E438">
            <v>40840</v>
          </cell>
          <cell r="F438">
            <v>42160</v>
          </cell>
          <cell r="G438">
            <v>41480</v>
          </cell>
          <cell r="H438">
            <v>41900</v>
          </cell>
          <cell r="I438">
            <v>42020</v>
          </cell>
          <cell r="J438"/>
          <cell r="K438"/>
        </row>
        <row r="439">
          <cell r="B439" t="str">
            <v>VIST</v>
          </cell>
          <cell r="C439">
            <v>37120</v>
          </cell>
          <cell r="D439">
            <v>37700</v>
          </cell>
          <cell r="E439">
            <v>37760</v>
          </cell>
          <cell r="F439">
            <v>38900</v>
          </cell>
          <cell r="G439">
            <v>38420</v>
          </cell>
          <cell r="H439">
            <v>38460</v>
          </cell>
          <cell r="I439">
            <v>38940</v>
          </cell>
          <cell r="J439"/>
          <cell r="K439"/>
        </row>
        <row r="440">
          <cell r="B440" t="str">
            <v>PAGS</v>
          </cell>
          <cell r="C440"/>
          <cell r="D440"/>
          <cell r="E440">
            <v>5975</v>
          </cell>
          <cell r="F440">
            <v>5910</v>
          </cell>
          <cell r="G440">
            <v>6000</v>
          </cell>
          <cell r="H440">
            <v>6340</v>
          </cell>
          <cell r="I440">
            <v>6230</v>
          </cell>
          <cell r="J440"/>
          <cell r="K440"/>
        </row>
        <row r="441">
          <cell r="B441" t="str">
            <v>BBD</v>
          </cell>
          <cell r="C441"/>
          <cell r="D441"/>
          <cell r="E441">
            <v>6490</v>
          </cell>
          <cell r="F441">
            <v>6440</v>
          </cell>
          <cell r="G441">
            <v>6415</v>
          </cell>
          <cell r="H441">
            <v>6690</v>
          </cell>
          <cell r="I441">
            <v>6670</v>
          </cell>
          <cell r="J441"/>
          <cell r="K441"/>
        </row>
        <row r="442">
          <cell r="B442" t="str">
            <v>SID</v>
          </cell>
          <cell r="C442"/>
          <cell r="D442"/>
          <cell r="E442">
            <v>14930</v>
          </cell>
          <cell r="F442">
            <v>14440</v>
          </cell>
          <cell r="G442">
            <v>14870</v>
          </cell>
          <cell r="H442">
            <v>14950</v>
          </cell>
          <cell r="I442">
            <v>14450</v>
          </cell>
          <cell r="J442"/>
          <cell r="K442"/>
        </row>
        <row r="443">
          <cell r="B443" t="str">
            <v>SMH</v>
          </cell>
          <cell r="C443">
            <v>18930</v>
          </cell>
          <cell r="D443">
            <v>18320</v>
          </cell>
          <cell r="E443">
            <v>18080</v>
          </cell>
          <cell r="F443">
            <v>17510</v>
          </cell>
          <cell r="G443">
            <v>17880</v>
          </cell>
          <cell r="H443">
            <v>17810</v>
          </cell>
          <cell r="I443">
            <v>18220</v>
          </cell>
          <cell r="J443"/>
          <cell r="K443"/>
        </row>
        <row r="444">
          <cell r="B444" t="str">
            <v>GOOGL</v>
          </cell>
          <cell r="C444">
            <v>9870</v>
          </cell>
          <cell r="D444">
            <v>9715</v>
          </cell>
          <cell r="E444">
            <v>9755</v>
          </cell>
          <cell r="F444">
            <v>9530</v>
          </cell>
          <cell r="G444">
            <v>9670</v>
          </cell>
          <cell r="H444">
            <v>9550</v>
          </cell>
          <cell r="I444">
            <v>9460</v>
          </cell>
          <cell r="J444"/>
          <cell r="K444"/>
        </row>
        <row r="445"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</row>
        <row r="446">
          <cell r="B446" t="str">
            <v>Cedears en USD</v>
          </cell>
          <cell r="C446"/>
          <cell r="D446"/>
          <cell r="E446"/>
          <cell r="F446"/>
          <cell r="G446"/>
          <cell r="H446"/>
          <cell r="I446"/>
          <cell r="J446"/>
          <cell r="K446"/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</row>
        <row r="448">
          <cell r="B448" t="str">
            <v>VALED</v>
          </cell>
          <cell r="C448">
            <v>7.04</v>
          </cell>
          <cell r="D448">
            <v>6.95</v>
          </cell>
          <cell r="E448">
            <v>6.87</v>
          </cell>
          <cell r="F448">
            <v>6.86</v>
          </cell>
          <cell r="G448">
            <v>6.94</v>
          </cell>
          <cell r="H448">
            <v>6.93</v>
          </cell>
          <cell r="I448">
            <v>6.73</v>
          </cell>
          <cell r="J448"/>
          <cell r="K448"/>
        </row>
        <row r="449">
          <cell r="B449" t="str">
            <v>PBRD</v>
          </cell>
          <cell r="C449">
            <v>26.69</v>
          </cell>
          <cell r="D449">
            <v>27.27</v>
          </cell>
          <cell r="E449">
            <v>26.61</v>
          </cell>
          <cell r="F449">
            <v>27.52</v>
          </cell>
          <cell r="G449">
            <v>26.97</v>
          </cell>
          <cell r="H449">
            <v>27.06</v>
          </cell>
          <cell r="I449">
            <v>27.19</v>
          </cell>
          <cell r="J449"/>
          <cell r="K449"/>
        </row>
        <row r="450">
          <cell r="B450" t="str">
            <v>PAGSD</v>
          </cell>
          <cell r="C450">
            <v>3.855</v>
          </cell>
          <cell r="D450">
            <v>3.7749999999999999</v>
          </cell>
          <cell r="E450">
            <v>3.88</v>
          </cell>
          <cell r="F450">
            <v>3.8849999999999998</v>
          </cell>
          <cell r="G450">
            <v>3.9</v>
          </cell>
          <cell r="H450">
            <v>4.1050000000000004</v>
          </cell>
          <cell r="I450">
            <v>4.04</v>
          </cell>
          <cell r="J450"/>
          <cell r="K450"/>
        </row>
        <row r="451">
          <cell r="B451" t="str">
            <v>VISTD</v>
          </cell>
          <cell r="C451">
            <v>24.21</v>
          </cell>
          <cell r="D451">
            <v>24.48</v>
          </cell>
          <cell r="E451">
            <v>24.63</v>
          </cell>
          <cell r="F451">
            <v>25.39</v>
          </cell>
          <cell r="G451">
            <v>24.94</v>
          </cell>
          <cell r="H451">
            <v>24.9</v>
          </cell>
          <cell r="I451">
            <v>25.19</v>
          </cell>
          <cell r="J451"/>
          <cell r="K451"/>
        </row>
        <row r="452">
          <cell r="B452" t="str">
            <v>BBDD</v>
          </cell>
          <cell r="C452">
            <v>4.3899999999999997</v>
          </cell>
          <cell r="D452">
            <v>4.33</v>
          </cell>
          <cell r="E452">
            <v>4.2300000000000004</v>
          </cell>
          <cell r="F452">
            <v>4.1900000000000004</v>
          </cell>
          <cell r="G452">
            <v>4.1749999999999998</v>
          </cell>
          <cell r="H452">
            <v>4.34</v>
          </cell>
          <cell r="I452">
            <v>4.32</v>
          </cell>
          <cell r="J452"/>
          <cell r="K452"/>
        </row>
        <row r="453">
          <cell r="B453" t="str">
            <v>SIDD</v>
          </cell>
          <cell r="C453">
            <v>10.6</v>
          </cell>
          <cell r="D453">
            <v>9.99</v>
          </cell>
          <cell r="E453">
            <v>9.7799999999999994</v>
          </cell>
          <cell r="F453">
            <v>9.4600000000000009</v>
          </cell>
          <cell r="G453">
            <v>9.65</v>
          </cell>
          <cell r="H453">
            <v>9.65</v>
          </cell>
          <cell r="I453">
            <v>9.48</v>
          </cell>
          <cell r="J453"/>
          <cell r="K453"/>
        </row>
        <row r="454"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</row>
        <row r="455">
          <cell r="B455" t="str">
            <v>ADR</v>
          </cell>
          <cell r="C455"/>
          <cell r="D455"/>
          <cell r="E455"/>
          <cell r="F455"/>
          <cell r="G455"/>
          <cell r="H455"/>
          <cell r="I455"/>
          <cell r="J455"/>
          <cell r="K455"/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</row>
        <row r="457">
          <cell r="B457" t="str">
            <v>BBD US</v>
          </cell>
          <cell r="C457">
            <v>4.1900000000000004</v>
          </cell>
          <cell r="D457">
            <v>4.1399999999999997</v>
          </cell>
          <cell r="E457">
            <v>4.03</v>
          </cell>
          <cell r="F457">
            <v>3.96</v>
          </cell>
          <cell r="G457">
            <v>3.94</v>
          </cell>
          <cell r="H457">
            <v>4.08</v>
          </cell>
          <cell r="I457">
            <v>4.05</v>
          </cell>
          <cell r="J457"/>
          <cell r="K457"/>
        </row>
        <row r="458">
          <cell r="B458" t="str">
            <v>PAGS US</v>
          </cell>
          <cell r="C458">
            <v>10.99</v>
          </cell>
          <cell r="D458">
            <v>10.83</v>
          </cell>
          <cell r="E458">
            <v>11.12</v>
          </cell>
          <cell r="F458">
            <v>11</v>
          </cell>
          <cell r="G458">
            <v>11.13</v>
          </cell>
          <cell r="H458">
            <v>11.72</v>
          </cell>
          <cell r="I458">
            <v>11.44</v>
          </cell>
          <cell r="J458"/>
          <cell r="K458"/>
        </row>
        <row r="459">
          <cell r="B459" t="str">
            <v>NIO US</v>
          </cell>
          <cell r="C459">
            <v>3.56</v>
          </cell>
          <cell r="D459">
            <v>3.41</v>
          </cell>
          <cell r="E459">
            <v>3.5</v>
          </cell>
          <cell r="F459">
            <v>3.43</v>
          </cell>
          <cell r="G459">
            <v>3.39</v>
          </cell>
          <cell r="H459">
            <v>3.43</v>
          </cell>
          <cell r="I459">
            <v>3.36</v>
          </cell>
          <cell r="J459"/>
          <cell r="K459"/>
        </row>
        <row r="460">
          <cell r="B460" t="str">
            <v>JD US</v>
          </cell>
          <cell r="C460">
            <v>26.78</v>
          </cell>
          <cell r="D460">
            <v>26.68</v>
          </cell>
          <cell r="E460">
            <v>27.39</v>
          </cell>
          <cell r="F460">
            <v>27.01</v>
          </cell>
          <cell r="G460">
            <v>26.78</v>
          </cell>
          <cell r="H460">
            <v>26.76</v>
          </cell>
          <cell r="I460">
            <v>25.79</v>
          </cell>
          <cell r="J460"/>
          <cell r="K460"/>
        </row>
        <row r="461">
          <cell r="B461" t="str">
            <v>BDORY US</v>
          </cell>
          <cell r="C461">
            <v>4.92</v>
          </cell>
          <cell r="D461">
            <v>4.75</v>
          </cell>
          <cell r="E461">
            <v>4.6500000000000004</v>
          </cell>
          <cell r="F461">
            <v>4.68</v>
          </cell>
          <cell r="G461">
            <v>4.79</v>
          </cell>
          <cell r="H461">
            <v>4.9000000000000004</v>
          </cell>
          <cell r="I461">
            <v>4.8730000000000002</v>
          </cell>
          <cell r="J461"/>
          <cell r="K461"/>
        </row>
        <row r="462">
          <cell r="B462" t="str">
            <v>GGAL US</v>
          </cell>
          <cell r="C462">
            <v>36.79</v>
          </cell>
          <cell r="D462">
            <v>35.549999999999997</v>
          </cell>
          <cell r="E462">
            <v>36.47</v>
          </cell>
          <cell r="F462">
            <v>36.020000000000003</v>
          </cell>
          <cell r="G462">
            <v>35.090000000000003</v>
          </cell>
          <cell r="H462">
            <v>35.46</v>
          </cell>
          <cell r="I462">
            <v>36.82</v>
          </cell>
          <cell r="J462"/>
          <cell r="K462"/>
        </row>
        <row r="463">
          <cell r="B463" t="str">
            <v>VALE US</v>
          </cell>
          <cell r="C463">
            <v>13.37</v>
          </cell>
          <cell r="D463">
            <v>13.21</v>
          </cell>
          <cell r="E463">
            <v>13.02</v>
          </cell>
          <cell r="F463">
            <v>13.06</v>
          </cell>
          <cell r="G463">
            <v>13.11</v>
          </cell>
          <cell r="H463">
            <v>13.02</v>
          </cell>
          <cell r="I463">
            <v>12.7</v>
          </cell>
          <cell r="J463"/>
          <cell r="K463"/>
        </row>
        <row r="464">
          <cell r="B464" t="str">
            <v>PBR US</v>
          </cell>
          <cell r="C464">
            <v>25.5</v>
          </cell>
          <cell r="D464">
            <v>25.94</v>
          </cell>
          <cell r="E464">
            <v>25.3</v>
          </cell>
          <cell r="F464">
            <v>26</v>
          </cell>
          <cell r="G464">
            <v>25.56</v>
          </cell>
          <cell r="H464">
            <v>25.7</v>
          </cell>
          <cell r="I464">
            <v>25.66</v>
          </cell>
          <cell r="J464"/>
          <cell r="K464"/>
        </row>
        <row r="465">
          <cell r="B465" t="str">
            <v>VIST US</v>
          </cell>
          <cell r="C465">
            <v>69.02</v>
          </cell>
          <cell r="D465">
            <v>69.94</v>
          </cell>
          <cell r="E465">
            <v>69.989999999999995</v>
          </cell>
          <cell r="F465">
            <v>71.95</v>
          </cell>
          <cell r="G465">
            <v>70.86</v>
          </cell>
          <cell r="H465">
            <v>70.66</v>
          </cell>
          <cell r="I465">
            <v>71.44</v>
          </cell>
          <cell r="J465"/>
          <cell r="K465"/>
        </row>
        <row r="466">
          <cell r="B466" t="str">
            <v>AMD US</v>
          </cell>
          <cell r="C466">
            <v>605.53</v>
          </cell>
          <cell r="D466">
            <v>570.82000000000005</v>
          </cell>
          <cell r="E466">
            <v>562.23</v>
          </cell>
          <cell r="F466">
            <v>528.75</v>
          </cell>
          <cell r="G466">
            <v>538.04999999999995</v>
          </cell>
          <cell r="H466">
            <v>534.74</v>
          </cell>
          <cell r="I466">
            <v>552.72</v>
          </cell>
          <cell r="J466"/>
          <cell r="K466"/>
        </row>
        <row r="467">
          <cell r="B467" t="str">
            <v>SID US</v>
          </cell>
          <cell r="C467">
            <v>1.24</v>
          </cell>
          <cell r="D467">
            <v>1.21</v>
          </cell>
          <cell r="E467">
            <v>1.1499999999999999</v>
          </cell>
          <cell r="F467">
            <v>1.1100000000000001</v>
          </cell>
          <cell r="G467">
            <v>1.1299999999999999</v>
          </cell>
          <cell r="H467">
            <v>1.1599999999999999</v>
          </cell>
          <cell r="I467">
            <v>1.1000000000000001</v>
          </cell>
          <cell r="J467"/>
          <cell r="K467"/>
        </row>
        <row r="468">
          <cell r="B468" t="str">
            <v>MSFT US</v>
          </cell>
          <cell r="C468">
            <v>543.45000000000005</v>
          </cell>
          <cell r="D468">
            <v>533.69000000000005</v>
          </cell>
          <cell r="E468">
            <v>539.44000000000005</v>
          </cell>
          <cell r="F468">
            <v>529.04999999999995</v>
          </cell>
          <cell r="G468">
            <v>533.52</v>
          </cell>
          <cell r="H468">
            <v>531.87</v>
          </cell>
          <cell r="I468">
            <v>532.95000000000005</v>
          </cell>
          <cell r="J468"/>
          <cell r="K468"/>
        </row>
        <row r="469">
          <cell r="B469" t="str">
            <v>NU US</v>
          </cell>
          <cell r="C469">
            <v>15.58</v>
          </cell>
          <cell r="D469">
            <v>14.93</v>
          </cell>
          <cell r="E469">
            <v>14.73</v>
          </cell>
          <cell r="F469">
            <v>14.56</v>
          </cell>
          <cell r="G469">
            <v>14.51</v>
          </cell>
          <cell r="H469">
            <v>15.09</v>
          </cell>
          <cell r="I469">
            <v>15.05</v>
          </cell>
          <cell r="J469"/>
          <cell r="K469"/>
        </row>
        <row r="470">
          <cell r="B470" t="str">
            <v>YPF US</v>
          </cell>
          <cell r="C470">
            <v>51.79</v>
          </cell>
          <cell r="D470">
            <v>52.25</v>
          </cell>
          <cell r="E470">
            <v>51.11</v>
          </cell>
          <cell r="F470">
            <v>52.1</v>
          </cell>
          <cell r="G470">
            <v>50.69</v>
          </cell>
          <cell r="H470">
            <v>50.78</v>
          </cell>
          <cell r="I470">
            <v>50.37</v>
          </cell>
          <cell r="J470"/>
          <cell r="K470"/>
        </row>
        <row r="471">
          <cell r="B471" t="str">
            <v>TSLA US</v>
          </cell>
          <cell r="C471"/>
          <cell r="D471"/>
          <cell r="E471">
            <v>362.44</v>
          </cell>
          <cell r="F471">
            <v>354.72</v>
          </cell>
          <cell r="G471">
            <v>368.06</v>
          </cell>
          <cell r="H471">
            <v>373.71</v>
          </cell>
          <cell r="I471">
            <v>386.47</v>
          </cell>
          <cell r="J471"/>
          <cell r="K471"/>
        </row>
        <row r="472"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</row>
        <row r="473">
          <cell r="B473" t="str">
            <v>ETF</v>
          </cell>
          <cell r="C473"/>
          <cell r="D473"/>
          <cell r="E473"/>
          <cell r="F473"/>
          <cell r="G473"/>
          <cell r="H473"/>
          <cell r="I473"/>
          <cell r="J473"/>
          <cell r="K473"/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</row>
        <row r="475">
          <cell r="B475" t="str">
            <v>EWZ US</v>
          </cell>
          <cell r="C475">
            <v>42.87</v>
          </cell>
          <cell r="D475">
            <v>42.6</v>
          </cell>
          <cell r="E475">
            <v>41.58</v>
          </cell>
          <cell r="F475">
            <v>41.83</v>
          </cell>
          <cell r="G475">
            <v>41.93</v>
          </cell>
          <cell r="H475">
            <v>42.94</v>
          </cell>
          <cell r="I475">
            <v>42.51</v>
          </cell>
          <cell r="J475"/>
          <cell r="K475"/>
        </row>
        <row r="476">
          <cell r="B476" t="str">
            <v>FLRN US</v>
          </cell>
          <cell r="C476">
            <v>30.77</v>
          </cell>
          <cell r="D476">
            <v>30.77</v>
          </cell>
          <cell r="E476">
            <v>30.78</v>
          </cell>
          <cell r="F476">
            <v>30.79</v>
          </cell>
          <cell r="G476">
            <v>30.8</v>
          </cell>
          <cell r="H476">
            <v>30.79</v>
          </cell>
          <cell r="I476">
            <v>30.8</v>
          </cell>
          <cell r="J476"/>
          <cell r="K476"/>
        </row>
        <row r="477">
          <cell r="B477" t="str">
            <v>SDIA LN</v>
          </cell>
          <cell r="C477">
            <v>6.3550000000000004</v>
          </cell>
          <cell r="D477">
            <v>6.3570000000000002</v>
          </cell>
          <cell r="E477">
            <v>6.3609999999999998</v>
          </cell>
          <cell r="F477">
            <v>6.3780000000000001</v>
          </cell>
          <cell r="G477">
            <v>6.3559999999999999</v>
          </cell>
          <cell r="H477">
            <v>6.383</v>
          </cell>
          <cell r="I477">
            <v>6.3689999999999998</v>
          </cell>
          <cell r="J477"/>
          <cell r="K477"/>
        </row>
        <row r="478">
          <cell r="B478" t="str">
            <v>EMCA LN</v>
          </cell>
          <cell r="C478">
            <v>6.6779999999999999</v>
          </cell>
          <cell r="D478">
            <v>6.6630000000000003</v>
          </cell>
          <cell r="E478">
            <v>6.6929999999999996</v>
          </cell>
          <cell r="F478">
            <v>6.7039999999999997</v>
          </cell>
          <cell r="G478">
            <v>6.6859999999999999</v>
          </cell>
          <cell r="H478">
            <v>6.6950000000000003</v>
          </cell>
          <cell r="I478">
            <v>6.69</v>
          </cell>
          <cell r="J478"/>
          <cell r="K478"/>
        </row>
        <row r="479">
          <cell r="B479" t="str">
            <v>IGV US</v>
          </cell>
          <cell r="C479">
            <v>110.98</v>
          </cell>
          <cell r="D479">
            <v>107.65</v>
          </cell>
          <cell r="E479">
            <v>109.6</v>
          </cell>
          <cell r="F479">
            <v>104.34</v>
          </cell>
          <cell r="G479">
            <v>105.99</v>
          </cell>
          <cell r="H479">
            <v>106.93</v>
          </cell>
          <cell r="I479">
            <v>108.82</v>
          </cell>
          <cell r="J479"/>
          <cell r="K479"/>
        </row>
        <row r="480"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</row>
        <row r="481">
          <cell r="B481" t="str">
            <v>Funds</v>
          </cell>
          <cell r="C481"/>
          <cell r="D481"/>
          <cell r="E481"/>
          <cell r="F481"/>
          <cell r="G481"/>
          <cell r="H481"/>
          <cell r="I481"/>
          <cell r="J481"/>
          <cell r="K481"/>
        </row>
        <row r="482"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</row>
        <row r="483">
          <cell r="B483" t="str">
            <v>MUHYIU1 LX</v>
          </cell>
          <cell r="C483">
            <v>294.52999999999997</v>
          </cell>
          <cell r="D483">
            <v>294.11</v>
          </cell>
          <cell r="E483">
            <v>293.43</v>
          </cell>
          <cell r="F483">
            <v>294.02</v>
          </cell>
          <cell r="G483">
            <v>293.94</v>
          </cell>
          <cell r="H483">
            <v>293.67</v>
          </cell>
          <cell r="I483">
            <v>293.43</v>
          </cell>
          <cell r="J483"/>
          <cell r="K483"/>
        </row>
        <row r="484">
          <cell r="B484" t="str">
            <v>MGCIF1U LX</v>
          </cell>
          <cell r="C484">
            <v>151.53</v>
          </cell>
          <cell r="D484">
            <v>151.86000000000001</v>
          </cell>
          <cell r="E484">
            <v>151.75</v>
          </cell>
          <cell r="F484">
            <v>152.63</v>
          </cell>
          <cell r="G484">
            <v>152.81</v>
          </cell>
          <cell r="H484">
            <v>152.19</v>
          </cell>
          <cell r="I484">
            <v>152.52000000000001</v>
          </cell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Latam</v>
          </cell>
          <cell r="C486"/>
          <cell r="D486"/>
          <cell r="E486"/>
          <cell r="F486"/>
          <cell r="G486"/>
          <cell r="H486"/>
          <cell r="I486"/>
          <cell r="J486"/>
          <cell r="K486"/>
        </row>
        <row r="487"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</row>
        <row r="488">
          <cell r="B488" t="str">
            <v>CH27</v>
          </cell>
          <cell r="C488">
            <v>1.0004427777777778</v>
          </cell>
          <cell r="D488">
            <v>1.0001991666666668</v>
          </cell>
          <cell r="E488">
            <v>1.0006355555555555</v>
          </cell>
          <cell r="F488">
            <v>1.0006147222222221</v>
          </cell>
          <cell r="G488">
            <v>1.0005761111111111</v>
          </cell>
          <cell r="H488">
            <v>1.0006325</v>
          </cell>
          <cell r="I488">
            <v>1.0010138888888889</v>
          </cell>
          <cell r="J488"/>
          <cell r="K488"/>
        </row>
        <row r="489">
          <cell r="B489" t="str">
            <v>CH28</v>
          </cell>
          <cell r="C489">
            <v>0.98290499999999992</v>
          </cell>
          <cell r="D489">
            <v>0.98251499999999992</v>
          </cell>
          <cell r="E489">
            <v>0.9835299999999999</v>
          </cell>
          <cell r="F489">
            <v>0.98336000000000001</v>
          </cell>
          <cell r="G489">
            <v>0.98325999999999991</v>
          </cell>
          <cell r="H489">
            <v>0.9834099999999999</v>
          </cell>
          <cell r="I489">
            <v>0.98342999999999992</v>
          </cell>
          <cell r="J489"/>
          <cell r="K489"/>
        </row>
        <row r="490">
          <cell r="B490" t="str">
            <v>BR27</v>
          </cell>
          <cell r="C490">
            <v>1.0717412499999999</v>
          </cell>
          <cell r="D490">
            <v>1.0714174999999999</v>
          </cell>
          <cell r="E490">
            <v>1.0725087500000001</v>
          </cell>
          <cell r="F490">
            <v>1.0726475</v>
          </cell>
          <cell r="G490">
            <v>1.0727037500000001</v>
          </cell>
          <cell r="H490">
            <v>1.07172</v>
          </cell>
          <cell r="I490">
            <v>1.0716512499999999</v>
          </cell>
          <cell r="J490"/>
          <cell r="K490"/>
        </row>
        <row r="491">
          <cell r="B491" t="str">
            <v>BR28</v>
          </cell>
          <cell r="C491">
            <v>1.0082509722222222</v>
          </cell>
          <cell r="D491">
            <v>1.0080344444444445</v>
          </cell>
          <cell r="E491">
            <v>1.0086929166666665</v>
          </cell>
          <cell r="F491">
            <v>1.0087533333333334</v>
          </cell>
          <cell r="G491">
            <v>1.0088068055555555</v>
          </cell>
          <cell r="H491">
            <v>1.0089702777777778</v>
          </cell>
          <cell r="I491">
            <v>1.00910875</v>
          </cell>
          <cell r="J491"/>
          <cell r="K491"/>
        </row>
        <row r="492">
          <cell r="B492" t="str">
            <v>CDEL27</v>
          </cell>
          <cell r="C492">
            <v>0.99528069444444456</v>
          </cell>
          <cell r="D492">
            <v>0.9948663888888889</v>
          </cell>
          <cell r="E492">
            <v>0.9956320833333332</v>
          </cell>
          <cell r="F492">
            <v>0.99597916666666664</v>
          </cell>
          <cell r="G492">
            <v>0.99617986111111123</v>
          </cell>
          <cell r="H492">
            <v>0.99683555555555559</v>
          </cell>
          <cell r="I492">
            <v>0.99669124999999992</v>
          </cell>
          <cell r="J492"/>
          <cell r="K492"/>
        </row>
        <row r="493"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</row>
        <row r="494">
          <cell r="B494" t="str">
            <v>Futuros</v>
          </cell>
          <cell r="C494"/>
          <cell r="D494"/>
          <cell r="E494"/>
          <cell r="F494"/>
          <cell r="G494"/>
          <cell r="H494"/>
          <cell r="I494"/>
          <cell r="J494"/>
          <cell r="K494"/>
        </row>
        <row r="495"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</row>
        <row r="496">
          <cell r="B496" t="str">
            <v>FUTDLR102026</v>
          </cell>
          <cell r="C496">
            <v>1526</v>
          </cell>
          <cell r="D496">
            <v>1527</v>
          </cell>
          <cell r="E496">
            <v>1526</v>
          </cell>
          <cell r="F496">
            <v>1531</v>
          </cell>
          <cell r="G496">
            <v>1534</v>
          </cell>
          <cell r="H496">
            <v>1533.5</v>
          </cell>
          <cell r="I496">
            <v>1533</v>
          </cell>
          <cell r="J496"/>
          <cell r="K496"/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 t="str">
            <v>Futuros Soja</v>
          </cell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</row>
        <row r="500">
          <cell r="B500" t="str">
            <v>FUTDLRMM1126</v>
          </cell>
          <cell r="C500">
            <v>565262.06846999994</v>
          </cell>
          <cell r="D500">
            <v>563115.45290000003</v>
          </cell>
          <cell r="E500">
            <v>561365.54064000002</v>
          </cell>
          <cell r="F500">
            <v>560389.23499999999</v>
          </cell>
          <cell r="G500">
            <v>558306.52890000003</v>
          </cell>
          <cell r="H500">
            <v>556566.63649999991</v>
          </cell>
          <cell r="I500">
            <v>556927.90272000001</v>
          </cell>
          <cell r="J500"/>
          <cell r="K500"/>
        </row>
        <row r="501">
          <cell r="B501" t="str">
            <v>FUTDLRMM0527</v>
          </cell>
          <cell r="C501">
            <v>543888.52283999999</v>
          </cell>
          <cell r="D501">
            <v>542365.90555000002</v>
          </cell>
          <cell r="E501">
            <v>539716.33020000008</v>
          </cell>
          <cell r="F501">
            <v>537670.75249999994</v>
          </cell>
          <cell r="G501">
            <v>536522.67252000002</v>
          </cell>
          <cell r="H501">
            <v>538726.00732999993</v>
          </cell>
          <cell r="I501">
            <v>539371.23912000004</v>
          </cell>
          <cell r="J501"/>
          <cell r="K501"/>
        </row>
        <row r="502">
          <cell r="B502" t="str">
            <v>FUTARSSRO1126</v>
          </cell>
          <cell r="C502">
            <v>565262.06846999994</v>
          </cell>
          <cell r="D502">
            <v>563115.45290000003</v>
          </cell>
          <cell r="E502">
            <v>561365.54064000002</v>
          </cell>
          <cell r="F502">
            <v>560389.23499999999</v>
          </cell>
          <cell r="G502">
            <v>558306.52890000003</v>
          </cell>
          <cell r="H502">
            <v>556566.63649999991</v>
          </cell>
          <cell r="I502">
            <v>556927.90272000001</v>
          </cell>
          <cell r="J502"/>
          <cell r="K502"/>
        </row>
        <row r="503">
          <cell r="B503" t="str">
            <v>FUTARSSRO0127</v>
          </cell>
          <cell r="C503">
            <v>572992.92539999995</v>
          </cell>
          <cell r="D503">
            <v>570991.19349999994</v>
          </cell>
          <cell r="E503">
            <v>568783.80156000005</v>
          </cell>
          <cell r="F503">
            <v>567962.0625</v>
          </cell>
          <cell r="G503">
            <v>565770.92723999999</v>
          </cell>
          <cell r="H503">
            <v>564190.83699999994</v>
          </cell>
          <cell r="I503">
            <v>565629.90120000008</v>
          </cell>
          <cell r="J503"/>
          <cell r="K503"/>
        </row>
        <row r="504">
          <cell r="B504" t="str">
            <v>FUTARSSRO0527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>
            <v>538726.00732999993</v>
          </cell>
          <cell r="I504">
            <v>539371.23912000004</v>
          </cell>
          <cell r="J504"/>
          <cell r="K504"/>
        </row>
        <row r="505"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</row>
        <row r="506">
          <cell r="B506" t="str">
            <v>Treasury</v>
          </cell>
          <cell r="C506"/>
          <cell r="D506"/>
          <cell r="E506"/>
          <cell r="F506"/>
          <cell r="G506"/>
          <cell r="H506"/>
          <cell r="I506"/>
          <cell r="J506"/>
          <cell r="K506"/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</row>
        <row r="508">
          <cell r="B508" t="str">
            <v>US27102026</v>
          </cell>
          <cell r="C508">
            <v>0.99864495917499729</v>
          </cell>
          <cell r="D508">
            <v>0.99874719341093465</v>
          </cell>
          <cell r="E508">
            <v>0.99885496193024415</v>
          </cell>
          <cell r="F508">
            <v>0.99896455271444251</v>
          </cell>
          <cell r="G508">
            <v>0.99927905985570131</v>
          </cell>
          <cell r="H508">
            <v>0.99938392498787454</v>
          </cell>
          <cell r="I508">
            <v>0.99948323978193021</v>
          </cell>
          <cell r="J508"/>
          <cell r="K508"/>
        </row>
        <row r="509">
          <cell r="B509" t="str">
            <v>US03112026</v>
          </cell>
          <cell r="C509">
            <v>0.99787417260511158</v>
          </cell>
          <cell r="D509">
            <v>0.99799025542628228</v>
          </cell>
          <cell r="E509">
            <v>0.99810138147239569</v>
          </cell>
          <cell r="F509">
            <v>0.99820133417894741</v>
          </cell>
          <cell r="G509">
            <v>0.99852810391818214</v>
          </cell>
          <cell r="H509">
            <v>0.99863195903144397</v>
          </cell>
          <cell r="I509">
            <v>0.99873774871661924</v>
          </cell>
          <cell r="J509"/>
          <cell r="K509"/>
        </row>
        <row r="510">
          <cell r="B510" t="str">
            <v>US19112026</v>
          </cell>
          <cell r="C510">
            <v>0.99613488747114487</v>
          </cell>
          <cell r="D510">
            <v>0.99623042782501603</v>
          </cell>
          <cell r="E510">
            <v>0.9963480921621003</v>
          </cell>
          <cell r="F510">
            <v>0.99648465603234815</v>
          </cell>
          <cell r="G510">
            <v>0.996800924463218</v>
          </cell>
          <cell r="H510">
            <v>0.99690359830496555</v>
          </cell>
          <cell r="I510">
            <v>0.99700608632608601</v>
          </cell>
          <cell r="J510"/>
          <cell r="K510"/>
        </row>
        <row r="511">
          <cell r="B511" t="str">
            <v>US01122026</v>
          </cell>
          <cell r="C511">
            <v>0.99483557684655111</v>
          </cell>
          <cell r="D511">
            <v>0.99493510430836929</v>
          </cell>
          <cell r="E511">
            <v>0.99503834081734843</v>
          </cell>
          <cell r="F511">
            <v>0.99515459229013925</v>
          </cell>
          <cell r="G511">
            <v>0.99547900889869856</v>
          </cell>
          <cell r="H511">
            <v>0.99557504261715801</v>
          </cell>
          <cell r="I511">
            <v>0.9956959745730346</v>
          </cell>
          <cell r="J511"/>
          <cell r="K511"/>
        </row>
        <row r="512">
          <cell r="B512" t="str">
            <v>US10122026</v>
          </cell>
          <cell r="C512">
            <v>0.993862536688776</v>
          </cell>
          <cell r="D512">
            <v>0.9939403081169208</v>
          </cell>
          <cell r="E512">
            <v>0.99405784899226357</v>
          </cell>
          <cell r="F512">
            <v>0.99417812558190066</v>
          </cell>
          <cell r="G512">
            <v>0.99452535047434365</v>
          </cell>
          <cell r="H512">
            <v>0.99462507335359918</v>
          </cell>
          <cell r="I512">
            <v>0.99473373245430041</v>
          </cell>
          <cell r="J512"/>
          <cell r="K512"/>
        </row>
        <row r="513">
          <cell r="B513"/>
          <cell r="C513"/>
          <cell r="D513"/>
          <cell r="E513"/>
          <cell r="F513"/>
          <cell r="G513"/>
          <cell r="H513"/>
          <cell r="I513"/>
          <cell r="J513"/>
          <cell r="K513"/>
        </row>
        <row r="514">
          <cell r="B514" t="str">
            <v>Pagare $</v>
          </cell>
          <cell r="C514"/>
          <cell r="D514"/>
          <cell r="E514"/>
          <cell r="F514"/>
          <cell r="G514"/>
          <cell r="H514"/>
          <cell r="I514"/>
          <cell r="J514"/>
          <cell r="K514"/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</row>
        <row r="516">
          <cell r="B516" t="str">
            <v>#MAV150270009</v>
          </cell>
          <cell r="C516">
            <v>0.90965732087227413</v>
          </cell>
          <cell r="D516">
            <v>0.91031524341580217</v>
          </cell>
          <cell r="E516">
            <v>0.9109741183517609</v>
          </cell>
          <cell r="F516">
            <v>0.91295647823911952</v>
          </cell>
          <cell r="G516">
            <v>0.91361918349978732</v>
          </cell>
          <cell r="H516">
            <v>0.91428285156054312</v>
          </cell>
          <cell r="I516">
            <v>0.91494748452109387</v>
          </cell>
          <cell r="J516"/>
          <cell r="K516"/>
        </row>
        <row r="517">
          <cell r="B517" t="str">
            <v>#MAV150270010</v>
          </cell>
          <cell r="C517">
            <v>0.90965732087227413</v>
          </cell>
          <cell r="D517">
            <v>0.91031524341580217</v>
          </cell>
          <cell r="E517">
            <v>0.9109741183517609</v>
          </cell>
          <cell r="F517">
            <v>0.91295647823911952</v>
          </cell>
          <cell r="G517">
            <v>0.91361918349978732</v>
          </cell>
          <cell r="H517">
            <v>0.91428285156054312</v>
          </cell>
          <cell r="I517">
            <v>0.91494748452109387</v>
          </cell>
          <cell r="J517"/>
          <cell r="K517"/>
        </row>
        <row r="518">
          <cell r="B518" t="str">
            <v>#MAV101260047</v>
          </cell>
          <cell r="C518">
            <v>0.95908012391840725</v>
          </cell>
          <cell r="D518">
            <v>0.95975724715326793</v>
          </cell>
          <cell r="E518">
            <v>0.9604353271795304</v>
          </cell>
          <cell r="F518">
            <v>0.96247532832934057</v>
          </cell>
          <cell r="G518">
            <v>0.96315725587262035</v>
          </cell>
          <cell r="H518">
            <v>0.96384015041187665</v>
          </cell>
          <cell r="I518">
            <v>0.9645240140054171</v>
          </cell>
          <cell r="J518"/>
          <cell r="K518"/>
        </row>
        <row r="519">
          <cell r="B519"/>
          <cell r="C519"/>
          <cell r="D519"/>
          <cell r="E519"/>
          <cell r="F519"/>
          <cell r="G519"/>
          <cell r="H519"/>
          <cell r="I519"/>
          <cell r="J519"/>
          <cell r="K519"/>
        </row>
        <row r="520">
          <cell r="B520" t="str">
            <v>Pagarés USD</v>
          </cell>
          <cell r="C520"/>
          <cell r="D520"/>
          <cell r="E520"/>
          <cell r="F520"/>
          <cell r="G520"/>
          <cell r="H520"/>
          <cell r="I520"/>
          <cell r="J520"/>
          <cell r="K520"/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</row>
        <row r="522">
          <cell r="B522" t="str">
            <v>#UMV130170010</v>
          </cell>
          <cell r="C522">
            <v>1486.1296707901279</v>
          </cell>
          <cell r="D522">
            <v>1485.1792948831612</v>
          </cell>
          <cell r="E522">
            <v>1484.870062220622</v>
          </cell>
          <cell r="F522">
            <v>1486.4332240769222</v>
          </cell>
          <cell r="G522">
            <v>1495.3668522804135</v>
          </cell>
          <cell r="H522">
            <v>1497.1489962367284</v>
          </cell>
          <cell r="I522">
            <v>1499.2587183609228</v>
          </cell>
          <cell r="J522"/>
          <cell r="K522"/>
        </row>
        <row r="523">
          <cell r="B523" t="str">
            <v>#UMV130170012</v>
          </cell>
          <cell r="C523">
            <v>1486.1296707901279</v>
          </cell>
          <cell r="D523">
            <v>1485.1792948831612</v>
          </cell>
          <cell r="E523">
            <v>1484.870062220622</v>
          </cell>
          <cell r="F523">
            <v>1486.4332240769222</v>
          </cell>
          <cell r="G523">
            <v>1495.3668522804135</v>
          </cell>
          <cell r="H523">
            <v>1497.1489962367284</v>
          </cell>
          <cell r="I523">
            <v>1499.2587183609228</v>
          </cell>
          <cell r="J523"/>
          <cell r="K523"/>
        </row>
        <row r="524">
          <cell r="B524" t="str">
            <v>#UMV150270056</v>
          </cell>
          <cell r="C524">
            <v>1476.4788343198109</v>
          </cell>
          <cell r="D524">
            <v>1475.5326092904013</v>
          </cell>
          <cell r="E524">
            <v>1475.2233639545409</v>
          </cell>
          <cell r="F524">
            <v>1476.7702953052228</v>
          </cell>
          <cell r="G524">
            <v>1485.6438092998774</v>
          </cell>
          <cell r="H524">
            <v>1487.4123233324738</v>
          </cell>
          <cell r="I524">
            <v>1489.5062789690624</v>
          </cell>
          <cell r="J524"/>
          <cell r="K524"/>
        </row>
        <row r="525">
          <cell r="B525" t="str">
            <v>#UMV150270055</v>
          </cell>
          <cell r="C525">
            <v>1476.4788343198109</v>
          </cell>
          <cell r="D525">
            <v>1475.5326092904013</v>
          </cell>
          <cell r="E525">
            <v>1475.2233639545409</v>
          </cell>
          <cell r="F525">
            <v>1476.7702953052228</v>
          </cell>
          <cell r="G525">
            <v>1485.6438092998774</v>
          </cell>
          <cell r="H525">
            <v>1487.4123233324738</v>
          </cell>
          <cell r="I525">
            <v>1489.5062789690624</v>
          </cell>
          <cell r="J525"/>
          <cell r="K525"/>
        </row>
        <row r="526">
          <cell r="B526" t="str">
            <v>#UMV150370062</v>
          </cell>
          <cell r="C526">
            <v>1467.8690572835419</v>
          </cell>
          <cell r="D526">
            <v>1466.9265576676348</v>
          </cell>
          <cell r="E526">
            <v>1466.6173233362085</v>
          </cell>
          <cell r="F526">
            <v>1468.1498421812321</v>
          </cell>
          <cell r="G526">
            <v>1476.9697498545665</v>
          </cell>
          <cell r="H526">
            <v>1478.7261270117499</v>
          </cell>
          <cell r="I526">
            <v>1480.8060397976108</v>
          </cell>
          <cell r="J526"/>
          <cell r="K526"/>
        </row>
        <row r="527">
          <cell r="B527" t="str">
            <v>#UMV150370061</v>
          </cell>
          <cell r="C527">
            <v>1467.8690572835419</v>
          </cell>
          <cell r="D527">
            <v>1466.9265576676348</v>
          </cell>
          <cell r="E527">
            <v>1466.6173233362085</v>
          </cell>
          <cell r="F527">
            <v>1468.1498421812321</v>
          </cell>
          <cell r="G527">
            <v>1476.9697498545665</v>
          </cell>
          <cell r="H527">
            <v>1478.7261270117499</v>
          </cell>
          <cell r="I527">
            <v>1480.8060397976108</v>
          </cell>
          <cell r="J527"/>
          <cell r="K527"/>
        </row>
        <row r="528">
          <cell r="B528" t="str">
            <v>#UMV150170072</v>
          </cell>
          <cell r="C528">
            <v>1484.8773182471427</v>
          </cell>
          <cell r="D528">
            <v>1483.9274794919147</v>
          </cell>
          <cell r="E528">
            <v>1483.6182436922334</v>
          </cell>
          <cell r="F528">
            <v>1485.1792948831612</v>
          </cell>
          <cell r="G528">
            <v>1494.1051207397147</v>
          </cell>
          <cell r="H528">
            <v>1495.8854944700522</v>
          </cell>
          <cell r="I528">
            <v>1497.9931691069435</v>
          </cell>
          <cell r="J528"/>
          <cell r="K528"/>
        </row>
        <row r="529">
          <cell r="B529" t="str">
            <v>#UMV150170073</v>
          </cell>
          <cell r="C529">
            <v>1484.8773182471427</v>
          </cell>
          <cell r="D529">
            <v>1483.9274794919147</v>
          </cell>
          <cell r="E529">
            <v>1483.6182436922334</v>
          </cell>
          <cell r="F529">
            <v>1485.1792948831612</v>
          </cell>
          <cell r="G529">
            <v>1494.1051207397147</v>
          </cell>
          <cell r="H529">
            <v>1495.8854944700522</v>
          </cell>
          <cell r="I529">
            <v>1497.9931691069435</v>
          </cell>
          <cell r="J529"/>
          <cell r="K529"/>
        </row>
        <row r="530">
          <cell r="B530" t="str">
            <v>#UMV150370068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>
            <v>1478.7261270117499</v>
          </cell>
          <cell r="I530">
            <v>1480.8060397976108</v>
          </cell>
          <cell r="J530"/>
          <cell r="K530"/>
        </row>
        <row r="531">
          <cell r="B531" t="str">
            <v>#UMV150370069</v>
          </cell>
          <cell r="C531">
            <v>1467.8690572835419</v>
          </cell>
          <cell r="D531">
            <v>1466.9265576676348</v>
          </cell>
          <cell r="E531">
            <v>1466.6173233362085</v>
          </cell>
          <cell r="F531">
            <v>1468.1498421812321</v>
          </cell>
          <cell r="G531">
            <v>1476.9697498545665</v>
          </cell>
          <cell r="H531">
            <v>1478.7261270117499</v>
          </cell>
          <cell r="I531">
            <v>1480.8060397976108</v>
          </cell>
          <cell r="J531"/>
          <cell r="K531"/>
        </row>
        <row r="532">
          <cell r="B532" t="str">
            <v>#UMV080470014</v>
          </cell>
          <cell r="C532">
            <v>1460.5687708544517</v>
          </cell>
          <cell r="D532">
            <v>1459.6294465163867</v>
          </cell>
          <cell r="E532">
            <v>1459.3202379977765</v>
          </cell>
          <cell r="F532">
            <v>1460.8405860101182</v>
          </cell>
          <cell r="G532">
            <v>1469.6150576854459</v>
          </cell>
          <cell r="H532">
            <v>1471.361160716056</v>
          </cell>
          <cell r="I532">
            <v>1473.4291833691179</v>
          </cell>
          <cell r="J532"/>
          <cell r="K532"/>
        </row>
        <row r="533">
          <cell r="B533" t="str">
            <v>#UMV110270016</v>
          </cell>
          <cell r="C533">
            <v>1477.7170543774371</v>
          </cell>
          <cell r="D533">
            <v>1476.7702953052228</v>
          </cell>
          <cell r="E533">
            <v>1476.4610501171637</v>
          </cell>
          <cell r="F533">
            <v>1478.0100594207645</v>
          </cell>
          <cell r="G533">
            <v>1486.8912846404189</v>
          </cell>
          <cell r="H533">
            <v>1488.6615459096131</v>
          </cell>
          <cell r="I533">
            <v>1490.7575229004365</v>
          </cell>
          <cell r="J533"/>
          <cell r="K533"/>
        </row>
        <row r="534">
          <cell r="B534" t="str">
            <v>#UMV150470068</v>
          </cell>
          <cell r="C534">
            <v>1458.4531790581905</v>
          </cell>
          <cell r="D534">
            <v>1457.5147777276836</v>
          </cell>
          <cell r="E534">
            <v>1457.2055795162821</v>
          </cell>
          <cell r="F534">
            <v>1458.7224089842812</v>
          </cell>
          <cell r="G534">
            <v>1467.4837164434955</v>
          </cell>
          <cell r="H534">
            <v>1469.2268449590301</v>
          </cell>
          <cell r="I534">
            <v>1471.2914247994984</v>
          </cell>
          <cell r="J534"/>
          <cell r="K534"/>
        </row>
        <row r="535">
          <cell r="B535" t="str">
            <v>#UMV250270018</v>
          </cell>
          <cell r="C535">
            <v>1473.3923436630369</v>
          </cell>
          <cell r="D535">
            <v>1472.4474517267049</v>
          </cell>
          <cell r="E535">
            <v>1472.1382079166247</v>
          </cell>
          <cell r="F535">
            <v>1473.6799652917082</v>
          </cell>
          <cell r="G535">
            <v>1482.5342596147693</v>
          </cell>
          <cell r="H535">
            <v>1484.2984202715154</v>
          </cell>
          <cell r="I535">
            <v>1486.3873392532764</v>
          </cell>
          <cell r="J535"/>
          <cell r="K535"/>
        </row>
        <row r="536">
          <cell r="B536" t="str">
            <v>#UMV290370010</v>
          </cell>
          <cell r="C536">
            <v>1463.6017138806076</v>
          </cell>
          <cell r="D536">
            <v>1462.6610685205151</v>
          </cell>
          <cell r="E536">
            <v>1462.3518474412106</v>
          </cell>
          <cell r="F536">
            <v>1463.8772463612686</v>
          </cell>
          <cell r="G536">
            <v>1472.6705927534697</v>
          </cell>
          <cell r="H536">
            <v>1474.4209623517972</v>
          </cell>
          <cell r="I536">
            <v>1476.4939229417892</v>
          </cell>
          <cell r="J536"/>
          <cell r="K536"/>
        </row>
        <row r="537">
          <cell r="B537" t="str">
            <v>#UMV040370018</v>
          </cell>
          <cell r="C537">
            <v>1471.2394670119938</v>
          </cell>
          <cell r="D537">
            <v>1470.2955065294291</v>
          </cell>
          <cell r="E537">
            <v>1469.9862653842727</v>
          </cell>
          <cell r="F537">
            <v>1471.5244186479838</v>
          </cell>
          <cell r="G537">
            <v>1480.3653086082845</v>
          </cell>
          <cell r="H537">
            <v>1482.1264343481953</v>
          </cell>
          <cell r="I537">
            <v>1484.2118418231385</v>
          </cell>
          <cell r="J537"/>
          <cell r="K537"/>
        </row>
        <row r="538">
          <cell r="B538" t="str">
            <v>#UMV110370016</v>
          </cell>
          <cell r="C538">
            <v>1469.09287261894</v>
          </cell>
          <cell r="D538">
            <v>1468.1498421812321</v>
          </cell>
          <cell r="E538">
            <v>1467.8406050029087</v>
          </cell>
          <cell r="F538">
            <v>1469.3751686156306</v>
          </cell>
          <cell r="G538">
            <v>1478.2026946911715</v>
          </cell>
          <cell r="H538">
            <v>1479.9607957061012</v>
          </cell>
          <cell r="I538">
            <v>1482.0427032633847</v>
          </cell>
          <cell r="J538"/>
          <cell r="K538"/>
        </row>
        <row r="539">
          <cell r="B539" t="str">
            <v>#UMV210170045</v>
          </cell>
          <cell r="C539">
            <v>1484.251933154761</v>
          </cell>
          <cell r="D539">
            <v>1483.3023628026283</v>
          </cell>
          <cell r="E539">
            <v>1482.9931256030027</v>
          </cell>
          <cell r="F539">
            <v>1484.5531232964263</v>
          </cell>
          <cell r="G539">
            <v>1493.4750530821207</v>
          </cell>
          <cell r="H539">
            <v>1495.2545429877869</v>
          </cell>
          <cell r="I539">
            <v>1497.361195345344</v>
          </cell>
          <cell r="J539"/>
          <cell r="K539"/>
        </row>
        <row r="540">
          <cell r="B540" t="str">
            <v>#UMV280170011</v>
          </cell>
          <cell r="C540">
            <v>1482.0672276673426</v>
          </cell>
          <cell r="D540">
            <v>1481.118595819072</v>
          </cell>
          <cell r="E540">
            <v>1480.8093546001223</v>
          </cell>
          <cell r="F540">
            <v>1482.3656746534525</v>
          </cell>
          <cell r="G540">
            <v>1491.273994904117</v>
          </cell>
          <cell r="H540">
            <v>1493.0503981661689</v>
          </cell>
          <cell r="I540">
            <v>1495.1534802102535</v>
          </cell>
          <cell r="J540"/>
          <cell r="K540"/>
        </row>
        <row r="541">
          <cell r="B541" t="str">
            <v>#UMV070170014</v>
          </cell>
          <cell r="C541">
            <v>1488.640724024511</v>
          </cell>
          <cell r="D541">
            <v>1487.6892724317399</v>
          </cell>
          <cell r="E541">
            <v>1487.3800474004452</v>
          </cell>
          <cell r="F541">
            <v>1488.9474453242833</v>
          </cell>
          <cell r="G541">
            <v>1497.8967191673526</v>
          </cell>
          <cell r="H541">
            <v>1499.6824139166797</v>
          </cell>
          <cell r="I541">
            <v>1501.7962427687246</v>
          </cell>
          <cell r="J541"/>
          <cell r="K541"/>
        </row>
        <row r="542">
          <cell r="B542" t="str">
            <v>#UMV010670037</v>
          </cell>
          <cell r="C542">
            <v>1443.813918927382</v>
          </cell>
          <cell r="D542">
            <v>1442.8819393240215</v>
          </cell>
          <cell r="E542">
            <v>1442.5728472412579</v>
          </cell>
          <cell r="F542">
            <v>1444.0654342320597</v>
          </cell>
          <cell r="G542">
            <v>1452.7356854896655</v>
          </cell>
          <cell r="H542">
            <v>1454.4582667494201</v>
          </cell>
          <cell r="I542">
            <v>1456.4990590301738</v>
          </cell>
          <cell r="J542"/>
          <cell r="K542"/>
        </row>
        <row r="543">
          <cell r="B543" t="str">
            <v>#UMV290670004</v>
          </cell>
          <cell r="C543">
            <v>1435.5798227861239</v>
          </cell>
          <cell r="D543">
            <v>1434.6514819058393</v>
          </cell>
          <cell r="E543">
            <v>1434.3424762428847</v>
          </cell>
          <cell r="F543">
            <v>1435.8215081132676</v>
          </cell>
          <cell r="G543">
            <v>1444.4405711034735</v>
          </cell>
          <cell r="H543">
            <v>1446.1516224709992</v>
          </cell>
          <cell r="I543">
            <v>1448.1790624301552</v>
          </cell>
          <cell r="J543"/>
          <cell r="K543"/>
        </row>
        <row r="544">
          <cell r="B544" t="str">
            <v>#UMV150470071</v>
          </cell>
          <cell r="C544">
            <v>1457.2470188672289</v>
          </cell>
          <cell r="D544">
            <v>1456.3091443383973</v>
          </cell>
          <cell r="E544">
            <v>1455.999952571982</v>
          </cell>
          <cell r="F544">
            <v>1457.5147777276836</v>
          </cell>
          <cell r="G544">
            <v>1466.2685804774947</v>
          </cell>
          <cell r="H544">
            <v>1468.0100137156119</v>
          </cell>
          <cell r="I544">
            <v>1470.0726312915265</v>
          </cell>
          <cell r="J544"/>
          <cell r="K544"/>
        </row>
        <row r="545">
          <cell r="B545" t="str">
            <v>#UMV040570009</v>
          </cell>
          <cell r="C545">
            <v>1452.1430170544913</v>
          </cell>
          <cell r="D545">
            <v>1451.207376314363</v>
          </cell>
          <cell r="E545">
            <v>1450.8982163909288</v>
          </cell>
          <cell r="F545">
            <v>1452.4045738351617</v>
          </cell>
          <cell r="G545">
            <v>1461.1266243236637</v>
          </cell>
          <cell r="H545">
            <v>1462.860888466598</v>
          </cell>
          <cell r="I545">
            <v>1464.9152071842811</v>
          </cell>
          <cell r="J545"/>
          <cell r="K545"/>
        </row>
        <row r="546">
          <cell r="B546" t="str">
            <v>#UMV140170021</v>
          </cell>
          <cell r="C546">
            <v>1485.1902084630747</v>
          </cell>
          <cell r="D546">
            <v>1484.2402354631065</v>
          </cell>
          <cell r="E546">
            <v>1483.9310004055008</v>
          </cell>
          <cell r="F546">
            <v>1485.4925788036066</v>
          </cell>
          <cell r="G546">
            <v>1494.4203539704085</v>
          </cell>
          <cell r="H546">
            <v>1496.2011699349302</v>
          </cell>
          <cell r="I546">
            <v>1498.3093560773095</v>
          </cell>
          <cell r="J546"/>
          <cell r="K546"/>
        </row>
        <row r="547">
          <cell r="B547" t="str">
            <v>#UMV200470019</v>
          </cell>
          <cell r="C547">
            <v>1456.9457904770934</v>
          </cell>
          <cell r="D547">
            <v>1456.0080475769696</v>
          </cell>
          <cell r="E547">
            <v>1455.6988574845693</v>
          </cell>
          <cell r="F547">
            <v>1457.2131822740866</v>
          </cell>
          <cell r="G547">
            <v>1465.9651108527314</v>
          </cell>
          <cell r="H547">
            <v>1467.7061207752463</v>
          </cell>
          <cell r="I547">
            <v>1469.7682483580829</v>
          </cell>
        </row>
        <row r="548">
          <cell r="B548" t="str">
            <v>#UMV200470018</v>
          </cell>
          <cell r="C548">
            <v>1456.9457904770934</v>
          </cell>
          <cell r="D548">
            <v>1456.0080475769696</v>
          </cell>
          <cell r="E548">
            <v>1455.6988574845693</v>
          </cell>
          <cell r="F548">
            <v>1457.2131822740866</v>
          </cell>
          <cell r="G548">
            <v>1465.9651108527314</v>
          </cell>
          <cell r="H548">
            <v>1467.7061207752463</v>
          </cell>
          <cell r="I548">
            <v>1469.7682483580829</v>
          </cell>
        </row>
        <row r="549">
          <cell r="B549" t="str">
            <v>#UMV200470017</v>
          </cell>
          <cell r="C549">
            <v>1456.9457904770934</v>
          </cell>
          <cell r="D549">
            <v>1456.0080475769696</v>
          </cell>
          <cell r="E549">
            <v>1455.6988574845693</v>
          </cell>
          <cell r="F549">
            <v>1457.2131822740866</v>
          </cell>
          <cell r="G549">
            <v>1465.9651108527314</v>
          </cell>
          <cell r="H549">
            <v>1467.7061207752463</v>
          </cell>
          <cell r="I549">
            <v>1469.7682483580829</v>
          </cell>
        </row>
        <row r="550">
          <cell r="B550" t="str">
            <v>#UMV200470016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  <cell r="H550">
            <v>1467.7061207752463</v>
          </cell>
          <cell r="I550">
            <v>1469.7682483580829</v>
          </cell>
        </row>
        <row r="551">
          <cell r="B551" t="str">
            <v>#UMV040570010</v>
          </cell>
          <cell r="C551">
            <v>1452.741631373455</v>
          </cell>
          <cell r="D551">
            <v>1451.8057282645948</v>
          </cell>
          <cell r="E551">
            <v>1451.4965642237983</v>
          </cell>
          <cell r="F551">
            <v>1453.0039136371461</v>
          </cell>
          <cell r="G551">
            <v>1461.7296877382446</v>
          </cell>
          <cell r="H551">
            <v>1463.4647923062257</v>
          </cell>
          <cell r="I551">
            <v>1465.5200839494096</v>
          </cell>
        </row>
        <row r="552">
          <cell r="B552" t="str">
            <v>#UMV180570011</v>
          </cell>
          <cell r="C552">
            <v>1448.5616654797934</v>
          </cell>
          <cell r="D552">
            <v>1447.6275965460127</v>
          </cell>
          <cell r="E552">
            <v>1447.3184633799458</v>
          </cell>
          <cell r="F552">
            <v>1448.8188925303389</v>
          </cell>
          <cell r="G552">
            <v>1457.5186678375298</v>
          </cell>
          <cell r="H552">
            <v>1459.247906105428</v>
          </cell>
          <cell r="I552">
            <v>1461.2964062434439</v>
          </cell>
        </row>
        <row r="553">
          <cell r="B553" t="str">
            <v>#UMV010670043</v>
          </cell>
          <cell r="C553">
            <v>1444.4056845622692</v>
          </cell>
          <cell r="D553">
            <v>1443.4734441930509</v>
          </cell>
          <cell r="E553">
            <v>1443.1643466406199</v>
          </cell>
          <cell r="F553">
            <v>1444.6579100382189</v>
          </cell>
          <cell r="G553">
            <v>1453.3318408506368</v>
          </cell>
          <cell r="H553">
            <v>1455.0552514931155</v>
          </cell>
          <cell r="I553">
            <v>1457.0970041341225</v>
          </cell>
        </row>
        <row r="554">
          <cell r="B554" t="str">
            <v>#UMV220670013</v>
          </cell>
          <cell r="C554">
            <v>1438.216235360479</v>
          </cell>
          <cell r="D554">
            <v>1437.2867273318166</v>
          </cell>
          <cell r="E554">
            <v>1436.9776919046203</v>
          </cell>
          <cell r="F554">
            <v>1438.4610575809697</v>
          </cell>
          <cell r="G554">
            <v>1447.0965079736879</v>
          </cell>
          <cell r="H554">
            <v>1448.8112488741494</v>
          </cell>
          <cell r="I554">
            <v>1450.8429618655707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7"/>
  <sheetViews>
    <sheetView tabSelected="1" workbookViewId="0">
      <pane ySplit="1" topLeftCell="A138" activePane="bottomLeft" state="frozen"/>
      <selection pane="bottomLeft" activeCell="B166" sqref="B166:O167"/>
    </sheetView>
  </sheetViews>
  <sheetFormatPr baseColWidth="10" defaultRowHeight="14.4" x14ac:dyDescent="0.3"/>
  <sheetData>
    <row r="1" spans="1:15" x14ac:dyDescent="0.3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  <c r="G1" t="s">
        <v>11</v>
      </c>
      <c r="H1" t="s">
        <v>13</v>
      </c>
      <c r="I1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20</v>
      </c>
    </row>
    <row r="2" spans="1:15" x14ac:dyDescent="0.3">
      <c r="A2" s="7">
        <v>46072</v>
      </c>
      <c r="C2">
        <v>102.99999999941318</v>
      </c>
      <c r="E2">
        <v>121.4499999999918</v>
      </c>
      <c r="F2">
        <v>103.70000000000471</v>
      </c>
      <c r="G2" s="9">
        <v>1.037000000000047</v>
      </c>
      <c r="I2" s="9">
        <v>1.0390000000000437</v>
      </c>
      <c r="J2" s="9">
        <v>1.0255000000000369</v>
      </c>
      <c r="K2" s="9">
        <v>1.0959999999939141</v>
      </c>
      <c r="L2" s="9">
        <v>1.0525000000000342</v>
      </c>
      <c r="M2" s="9">
        <v>3.1489999999999956</v>
      </c>
      <c r="N2" s="9">
        <v>0.99499999999518851</v>
      </c>
      <c r="O2" s="9">
        <v>1.0039999999997464</v>
      </c>
    </row>
    <row r="3" spans="1:15" x14ac:dyDescent="0.3">
      <c r="A3" s="7">
        <v>46073</v>
      </c>
      <c r="C3">
        <v>104.89999999968605</v>
      </c>
      <c r="E3">
        <v>121.79999999999124</v>
      </c>
      <c r="F3">
        <v>104.14999999893084</v>
      </c>
      <c r="G3" s="9">
        <v>1.0414999999893084</v>
      </c>
      <c r="I3" s="9">
        <v>1.0385000000000253</v>
      </c>
      <c r="J3" s="9">
        <v>1.0275000000000187</v>
      </c>
      <c r="K3" s="9">
        <v>1.10149999999524</v>
      </c>
      <c r="L3" s="9">
        <v>1.0550000000000848</v>
      </c>
      <c r="M3" s="9">
        <v>3.1950000000001011</v>
      </c>
      <c r="N3" s="9">
        <v>0.98999999999997823</v>
      </c>
      <c r="O3" s="9">
        <v>1.0052499999997973</v>
      </c>
    </row>
    <row r="4" spans="1:15" x14ac:dyDescent="0.3">
      <c r="A4" s="7">
        <v>46076</v>
      </c>
      <c r="C4">
        <v>103.99999999937211</v>
      </c>
      <c r="E4">
        <v>121.89999999998918</v>
      </c>
      <c r="F4">
        <v>103.50000000000973</v>
      </c>
      <c r="G4" s="9">
        <v>1.0350000000000974</v>
      </c>
      <c r="I4" s="9">
        <v>0.9999999999992718</v>
      </c>
      <c r="J4" s="9">
        <v>1.0294000000000267</v>
      </c>
      <c r="K4" s="9">
        <v>1.1029999999954871</v>
      </c>
      <c r="L4" s="9">
        <v>1.0519999999999896</v>
      </c>
      <c r="M4" s="9">
        <v>3.1829999999999679</v>
      </c>
      <c r="N4" s="9">
        <v>1.033000000000005</v>
      </c>
      <c r="O4" s="9">
        <v>1.0084999999998279</v>
      </c>
    </row>
    <row r="5" spans="1:15" x14ac:dyDescent="0.3">
      <c r="A5" s="7">
        <v>46077</v>
      </c>
      <c r="C5">
        <v>103.50000000000152</v>
      </c>
      <c r="E5">
        <v>123.55000000000049</v>
      </c>
      <c r="F5">
        <v>105.14999999930235</v>
      </c>
      <c r="G5" s="9">
        <v>1.0514999999930235</v>
      </c>
      <c r="I5" s="9">
        <v>1.0089999999997927</v>
      </c>
      <c r="J5" s="9">
        <v>1.0389499999999909</v>
      </c>
      <c r="K5" s="9">
        <v>1.1159999999973647</v>
      </c>
      <c r="L5" s="9">
        <v>1.0614999999999595</v>
      </c>
      <c r="M5" s="9">
        <v>3.1779999999999733</v>
      </c>
      <c r="N5" s="9">
        <v>1.004999999997616</v>
      </c>
      <c r="O5" s="9">
        <v>1.0114999999998535</v>
      </c>
    </row>
    <row r="6" spans="1:15" x14ac:dyDescent="0.3">
      <c r="A6" s="7">
        <v>46078</v>
      </c>
      <c r="C6">
        <v>104.90000000000501</v>
      </c>
      <c r="E6">
        <v>123.59999999999873</v>
      </c>
      <c r="F6">
        <v>105.49999999939821</v>
      </c>
      <c r="G6" s="9">
        <v>1.0549999999939821</v>
      </c>
      <c r="I6" s="9"/>
      <c r="J6" s="9">
        <v>1.0409999999999873</v>
      </c>
      <c r="K6" s="9">
        <v>1.1189999999977578</v>
      </c>
      <c r="L6" s="9">
        <v>1.0615000000000072</v>
      </c>
      <c r="M6" s="9">
        <v>3.1705000000001764</v>
      </c>
      <c r="N6" s="9">
        <v>1.004999999997251</v>
      </c>
      <c r="O6" s="9">
        <v>1.0114999999998486</v>
      </c>
    </row>
    <row r="7" spans="1:15" x14ac:dyDescent="0.3">
      <c r="A7" s="7">
        <v>46079</v>
      </c>
      <c r="C7">
        <v>103.50000000000257</v>
      </c>
      <c r="E7">
        <v>124.14999999999895</v>
      </c>
      <c r="F7">
        <v>105.99999999950973</v>
      </c>
      <c r="G7" s="9">
        <v>1.0599999999950973</v>
      </c>
      <c r="I7" s="9">
        <v>1.026000000000066</v>
      </c>
      <c r="J7" s="9">
        <v>1.042009999999967</v>
      </c>
      <c r="K7" s="9">
        <v>1.1254999999983901</v>
      </c>
      <c r="L7" s="9">
        <v>1.0749999999899797</v>
      </c>
      <c r="M7" s="9">
        <v>3.2039999999999678</v>
      </c>
      <c r="N7" s="9">
        <v>1.009999999998396</v>
      </c>
      <c r="O7" s="9">
        <v>1.0169999999999662</v>
      </c>
    </row>
    <row r="8" spans="1:15" x14ac:dyDescent="0.3">
      <c r="A8" s="7">
        <v>46080</v>
      </c>
      <c r="C8">
        <v>104.89999999999642</v>
      </c>
      <c r="E8">
        <v>124.50000000000203</v>
      </c>
      <c r="F8">
        <v>105.99999999951297</v>
      </c>
      <c r="G8" s="9">
        <v>1.0599999999951297</v>
      </c>
      <c r="I8" s="9">
        <v>1.0290000000000044</v>
      </c>
      <c r="J8" s="9">
        <v>1.0489999999999859</v>
      </c>
      <c r="K8" s="9">
        <v>1.1284999999985121</v>
      </c>
      <c r="L8" s="9">
        <v>1.103999999997076</v>
      </c>
      <c r="M8" s="9">
        <v>3.2499999999773217</v>
      </c>
      <c r="N8" s="9">
        <v>1.0400000000001015</v>
      </c>
      <c r="O8" s="9">
        <v>1.0244999999999562</v>
      </c>
    </row>
    <row r="9" spans="1:15" x14ac:dyDescent="0.3">
      <c r="A9" s="7">
        <v>46083</v>
      </c>
      <c r="C9">
        <v>106.99999999972248</v>
      </c>
      <c r="E9">
        <v>124.79999999999687</v>
      </c>
      <c r="F9">
        <v>106.74999999965307</v>
      </c>
      <c r="G9" s="9">
        <v>1.0674999999965307</v>
      </c>
      <c r="I9" s="9">
        <v>1.0290000000000237</v>
      </c>
      <c r="J9" s="9">
        <v>1.0555000000000447</v>
      </c>
      <c r="K9" s="9">
        <v>1.1284999999984553</v>
      </c>
      <c r="L9" s="9">
        <v>1.0909999999948847</v>
      </c>
      <c r="M9" s="9">
        <v>3.2554999999793024</v>
      </c>
      <c r="N9" s="9">
        <v>1.0199999999993843</v>
      </c>
      <c r="O9" s="9">
        <v>1.0239999999999734</v>
      </c>
    </row>
    <row r="10" spans="1:15" x14ac:dyDescent="0.3">
      <c r="A10" s="7">
        <v>46084</v>
      </c>
      <c r="C10">
        <v>106.79999999978268</v>
      </c>
      <c r="E10">
        <v>124.30000000000105</v>
      </c>
      <c r="F10">
        <v>106.6999999996502</v>
      </c>
      <c r="G10" s="9">
        <v>1.0669999999965021</v>
      </c>
      <c r="I10" s="9">
        <v>1.0290000000000428</v>
      </c>
      <c r="J10" s="9">
        <v>1.0584999999999973</v>
      </c>
      <c r="K10" s="9">
        <v>1.1219999999980719</v>
      </c>
      <c r="L10" s="9">
        <v>1.0839999999930721</v>
      </c>
      <c r="M10" s="9">
        <v>3.2324999999997717</v>
      </c>
      <c r="N10" s="9">
        <v>1.0299999999997191</v>
      </c>
      <c r="O10" s="9">
        <v>1.0269999999999477</v>
      </c>
    </row>
    <row r="11" spans="1:15" x14ac:dyDescent="0.3">
      <c r="A11" s="7">
        <v>46085</v>
      </c>
      <c r="C11">
        <v>106.79999999987135</v>
      </c>
      <c r="E11">
        <v>124.59999999999923</v>
      </c>
      <c r="F11">
        <v>106.74999999964984</v>
      </c>
      <c r="G11" s="9">
        <v>1.0674999999964985</v>
      </c>
      <c r="I11" s="9">
        <v>0.99799999999567179</v>
      </c>
      <c r="J11" s="9">
        <v>1.0574999999999493</v>
      </c>
      <c r="K11" s="9">
        <v>1.1249999999983304</v>
      </c>
      <c r="L11" s="9">
        <v>1.0849999999935449</v>
      </c>
      <c r="M11" s="9">
        <v>3.2490000000001835</v>
      </c>
      <c r="N11" s="9">
        <v>1.0399999999999416</v>
      </c>
      <c r="O11" s="9">
        <v>1.0299999999999416</v>
      </c>
    </row>
    <row r="12" spans="1:15" x14ac:dyDescent="0.3">
      <c r="A12" s="7">
        <v>46086</v>
      </c>
      <c r="C12">
        <v>105.19999999983145</v>
      </c>
      <c r="E12">
        <v>124.60000000000102</v>
      </c>
      <c r="F12">
        <v>106.49999999960409</v>
      </c>
      <c r="G12" s="9">
        <v>1.0649999999960409</v>
      </c>
      <c r="I12" s="9">
        <v>1.0390000000000099</v>
      </c>
      <c r="J12" s="9">
        <v>1.0523600000000179</v>
      </c>
      <c r="K12" s="9">
        <v>1.1244999999982772</v>
      </c>
      <c r="L12" s="9">
        <v>1.0774999999910853</v>
      </c>
      <c r="M12" s="9">
        <v>3.2459999999998952</v>
      </c>
      <c r="N12" s="10">
        <v>1.0675000000000372</v>
      </c>
      <c r="O12" s="9">
        <v>1.032000000000004</v>
      </c>
    </row>
    <row r="13" spans="1:15" x14ac:dyDescent="0.3">
      <c r="A13" s="7">
        <v>46087</v>
      </c>
      <c r="C13">
        <v>104.99999999984149</v>
      </c>
      <c r="E13">
        <v>124.64999999999526</v>
      </c>
      <c r="F13">
        <v>105.9999999995149</v>
      </c>
      <c r="G13" s="9">
        <v>1.059999999995149</v>
      </c>
      <c r="I13" s="9">
        <v>1.045499999999989</v>
      </c>
      <c r="J13" s="9">
        <v>1.0480000000000138</v>
      </c>
      <c r="K13" s="9">
        <v>1.123999999998156</v>
      </c>
      <c r="L13" s="9">
        <v>1.0749999999900617</v>
      </c>
      <c r="M13" s="9">
        <v>3.2410000000000663</v>
      </c>
      <c r="N13" s="9"/>
      <c r="O13" s="9">
        <v>1.0349999999999961</v>
      </c>
    </row>
    <row r="14" spans="1:15" x14ac:dyDescent="0.3">
      <c r="A14" s="7">
        <v>46090</v>
      </c>
      <c r="C14">
        <v>104.54999999980792</v>
      </c>
      <c r="E14">
        <v>124.99999999999638</v>
      </c>
      <c r="F14">
        <v>105.74999999945535</v>
      </c>
      <c r="G14" s="9">
        <v>1.0574999999945536</v>
      </c>
      <c r="I14" s="9">
        <v>1.0395000000000292</v>
      </c>
      <c r="J14" s="9">
        <v>1.044999999999999</v>
      </c>
      <c r="K14" s="9">
        <v>1.1249999999982796</v>
      </c>
      <c r="L14" s="9">
        <v>1.0744999999898392</v>
      </c>
      <c r="M14" s="9">
        <v>3.24999999999975</v>
      </c>
      <c r="N14" s="10">
        <v>1.0675000000000372</v>
      </c>
      <c r="O14" s="9">
        <v>1.0358999999999625</v>
      </c>
    </row>
    <row r="15" spans="1:15" x14ac:dyDescent="0.3">
      <c r="A15" s="7">
        <v>46091</v>
      </c>
      <c r="C15">
        <v>106.04999999990095</v>
      </c>
      <c r="E15">
        <v>125.50000000000064</v>
      </c>
      <c r="F15">
        <v>106.64999999963499</v>
      </c>
      <c r="G15" s="9">
        <v>1.0664999999963498</v>
      </c>
      <c r="I15" s="9">
        <v>1.0099999999979161</v>
      </c>
      <c r="J15" s="9">
        <v>1.0494000000000043</v>
      </c>
      <c r="K15" s="9">
        <v>1.1294999999985909</v>
      </c>
      <c r="L15" s="9">
        <v>1.0749999999900226</v>
      </c>
      <c r="M15" s="9">
        <v>3.2500000000001599</v>
      </c>
      <c r="N15" s="9">
        <v>1.0679999999999417</v>
      </c>
      <c r="O15" s="9">
        <v>1.0378999999999534</v>
      </c>
    </row>
    <row r="16" spans="1:15" x14ac:dyDescent="0.3">
      <c r="A16" s="7">
        <v>46092</v>
      </c>
      <c r="C16">
        <v>106.7999999999403</v>
      </c>
      <c r="E16">
        <v>126.00000000000557</v>
      </c>
      <c r="F16">
        <v>106.79999999966773</v>
      </c>
      <c r="G16" s="9">
        <v>1.0679999999966774</v>
      </c>
      <c r="I16" s="9">
        <v>1.0199999999994018</v>
      </c>
      <c r="J16" s="9">
        <v>1.0500000000000074</v>
      </c>
      <c r="K16" s="9">
        <v>1.1354999999988609</v>
      </c>
      <c r="L16" s="9">
        <v>1.0829999999929263</v>
      </c>
      <c r="M16" s="9">
        <v>3.2540000000000036</v>
      </c>
      <c r="N16" s="9">
        <v>1.0675000000000372</v>
      </c>
      <c r="O16" s="9">
        <v>1.0384999999999893</v>
      </c>
    </row>
    <row r="17" spans="1:15" x14ac:dyDescent="0.3">
      <c r="A17" s="7">
        <v>46093</v>
      </c>
      <c r="C17">
        <v>106.19999999991859</v>
      </c>
      <c r="E17">
        <v>124.49999999999011</v>
      </c>
      <c r="F17">
        <v>106.44999999960689</v>
      </c>
      <c r="G17" s="9">
        <v>1.0644999999960689</v>
      </c>
      <c r="I17" s="9">
        <v>1.0099999999971798</v>
      </c>
      <c r="J17" s="9">
        <v>1.0455000000000034</v>
      </c>
      <c r="K17" s="9">
        <v>1.1284999999984682</v>
      </c>
      <c r="L17" s="9">
        <v>1.0824999999927818</v>
      </c>
      <c r="M17" s="9">
        <v>3.2504999999999495</v>
      </c>
      <c r="N17" s="9">
        <v>1.0159999999945137</v>
      </c>
      <c r="O17" s="9">
        <v>1.0409899999999972</v>
      </c>
    </row>
    <row r="18" spans="1:15" x14ac:dyDescent="0.3">
      <c r="A18" s="7">
        <v>46094</v>
      </c>
      <c r="C18">
        <v>107.94999999996216</v>
      </c>
      <c r="E18">
        <v>125.90000000000032</v>
      </c>
      <c r="F18">
        <v>106.54999999961852</v>
      </c>
      <c r="G18" s="9">
        <v>1.0654999999961852</v>
      </c>
      <c r="I18" s="9">
        <v>1.0369999999998949</v>
      </c>
      <c r="J18" s="9">
        <v>1.0590000000000477</v>
      </c>
      <c r="K18" s="9">
        <v>1.1354999999988571</v>
      </c>
      <c r="L18" s="9">
        <v>1.0874999999940276</v>
      </c>
      <c r="M18" s="9">
        <v>3.2999999999691103</v>
      </c>
      <c r="N18" s="9">
        <v>1.0379999999994793</v>
      </c>
      <c r="O18" s="9">
        <v>1.0540000000000018</v>
      </c>
    </row>
    <row r="19" spans="1:15" x14ac:dyDescent="0.3">
      <c r="A19" s="7">
        <v>46097</v>
      </c>
      <c r="C19">
        <v>107.74999999996066</v>
      </c>
      <c r="E19">
        <v>127.15000000000043</v>
      </c>
      <c r="F19">
        <v>107.09999999969627</v>
      </c>
      <c r="G19" s="9">
        <v>1.0709999999969626</v>
      </c>
      <c r="I19" s="9">
        <v>1.0484999999999984</v>
      </c>
      <c r="J19" s="9">
        <v>1.0609000000000328</v>
      </c>
      <c r="K19" s="9">
        <v>1.1419999999992334</v>
      </c>
      <c r="L19" s="9">
        <v>1.0869999999939537</v>
      </c>
      <c r="M19" s="9">
        <v>3.3429999999920428</v>
      </c>
      <c r="N19" s="9">
        <v>1.0479999999998857</v>
      </c>
      <c r="O19" s="9">
        <v>1.0660000000000289</v>
      </c>
    </row>
    <row r="20" spans="1:15" x14ac:dyDescent="0.3">
      <c r="A20" s="7">
        <v>46098</v>
      </c>
      <c r="C20">
        <v>107.24999999994462</v>
      </c>
      <c r="E20">
        <v>127.39999999999571</v>
      </c>
      <c r="F20">
        <v>107.74999999977079</v>
      </c>
      <c r="G20" s="9">
        <v>1.077499999997708</v>
      </c>
      <c r="I20" s="9">
        <v>1.0449999999999871</v>
      </c>
      <c r="J20" s="9">
        <v>1.0616999999999854</v>
      </c>
      <c r="K20" s="9">
        <v>1.1439999999992656</v>
      </c>
      <c r="L20" s="9">
        <v>1.0949999999957478</v>
      </c>
      <c r="M20" s="9">
        <v>3.3899999999988313</v>
      </c>
      <c r="N20" s="9">
        <v>1.0484999999998044</v>
      </c>
      <c r="O20" s="9">
        <v>1.0664999999999933</v>
      </c>
    </row>
    <row r="21" spans="1:15" x14ac:dyDescent="0.3">
      <c r="A21" s="7">
        <v>46099</v>
      </c>
      <c r="C21">
        <v>106.94999999994322</v>
      </c>
      <c r="E21">
        <v>127.60000000000218</v>
      </c>
      <c r="F21">
        <v>107.5499999997611</v>
      </c>
      <c r="G21" s="9">
        <v>1.0754999999976109</v>
      </c>
      <c r="I21" s="9">
        <v>1.0499999999999998</v>
      </c>
      <c r="J21" s="9">
        <v>1.0629999999999746</v>
      </c>
      <c r="K21" s="9">
        <v>1.1464999999993757</v>
      </c>
      <c r="L21" s="9">
        <v>1.0979999999962837</v>
      </c>
      <c r="M21" s="9">
        <v>3.4044999999992411</v>
      </c>
      <c r="N21" s="9">
        <v>1.0699999999999621</v>
      </c>
      <c r="O21" s="9">
        <v>1.0692999999999977</v>
      </c>
    </row>
    <row r="22" spans="1:15" x14ac:dyDescent="0.3">
      <c r="A22" s="7">
        <v>46100</v>
      </c>
      <c r="C22">
        <v>106.64999999994774</v>
      </c>
      <c r="E22">
        <v>128.10000000000068</v>
      </c>
      <c r="F22">
        <v>108.79999999986161</v>
      </c>
      <c r="G22" s="9">
        <v>1.0879999999986161</v>
      </c>
      <c r="I22" s="9">
        <v>1.0489999999999784</v>
      </c>
      <c r="J22" s="9">
        <v>1.0674999999999857</v>
      </c>
      <c r="K22" s="9">
        <v>1.1554999999995572</v>
      </c>
      <c r="L22" s="9">
        <v>1.0999999999966026</v>
      </c>
      <c r="M22" s="9">
        <v>3.3599999999937551</v>
      </c>
      <c r="N22" s="9">
        <v>1.0689999999999893</v>
      </c>
      <c r="O22" s="9">
        <v>1.0664999999999885</v>
      </c>
    </row>
    <row r="23" spans="1:15" x14ac:dyDescent="0.3">
      <c r="A23" s="7">
        <v>46101</v>
      </c>
      <c r="C23">
        <v>107.49999999997884</v>
      </c>
      <c r="E23">
        <v>128.15000000000097</v>
      </c>
      <c r="F23">
        <v>109.19999999988559</v>
      </c>
      <c r="G23" s="9">
        <v>1.0919999999988559</v>
      </c>
      <c r="I23" s="9">
        <v>1.0399999999998564</v>
      </c>
      <c r="J23" s="9">
        <v>1.0739999999999919</v>
      </c>
      <c r="K23" s="9">
        <v>1.1624999999996561</v>
      </c>
      <c r="L23" s="9">
        <v>1.1049999999972795</v>
      </c>
      <c r="M23" s="9">
        <v>3.3689999999934948</v>
      </c>
      <c r="N23" s="9">
        <v>1.059999999999909</v>
      </c>
      <c r="O23" s="9">
        <v>1.0725000000000322</v>
      </c>
    </row>
    <row r="24" spans="1:15" x14ac:dyDescent="0.3">
      <c r="A24" s="7">
        <v>46104</v>
      </c>
      <c r="C24">
        <v>108.14999999998879</v>
      </c>
      <c r="E24">
        <v>128.49999999999977</v>
      </c>
      <c r="F24">
        <v>109.79999999990882</v>
      </c>
      <c r="G24" s="9">
        <v>1.0979999999990881</v>
      </c>
      <c r="I24" s="9">
        <v>1.0500000000000116</v>
      </c>
      <c r="J24" s="9">
        <v>1.0859999999999976</v>
      </c>
      <c r="K24" s="9">
        <v>1.1669999999997267</v>
      </c>
      <c r="L24" s="9">
        <v>1.1194999999985551</v>
      </c>
      <c r="M24" s="9">
        <v>3.4214999999995257</v>
      </c>
      <c r="N24" s="9">
        <v>1.0695000000000225</v>
      </c>
      <c r="O24" s="9">
        <v>1.0794999999999879</v>
      </c>
    </row>
    <row r="25" spans="1:15" x14ac:dyDescent="0.3">
      <c r="A25" s="7">
        <v>46106</v>
      </c>
      <c r="C25">
        <v>106.19999999997103</v>
      </c>
      <c r="E25">
        <v>128.65000000000057</v>
      </c>
      <c r="F25">
        <v>110.09999999992448</v>
      </c>
      <c r="G25" s="9">
        <v>1.1009999999992448</v>
      </c>
      <c r="I25" s="9">
        <v>1.065000000000027</v>
      </c>
      <c r="J25" s="9">
        <v>1.0759900000000158</v>
      </c>
      <c r="K25" s="9">
        <v>1.1669999999997076</v>
      </c>
      <c r="L25" s="9">
        <v>1.1089999999977271</v>
      </c>
      <c r="M25" s="9">
        <v>3.4099999999984676</v>
      </c>
      <c r="N25" s="9">
        <v>1.0674999999999715</v>
      </c>
      <c r="O25" s="9">
        <v>1.0744999999999723</v>
      </c>
    </row>
    <row r="26" spans="1:15" x14ac:dyDescent="0.3">
      <c r="A26" s="7">
        <v>46107</v>
      </c>
      <c r="C26">
        <v>106.64999999998584</v>
      </c>
      <c r="E26">
        <v>130.10000000000147</v>
      </c>
      <c r="F26">
        <v>110.99999999994621</v>
      </c>
      <c r="G26" s="9">
        <v>1.1099999999994621</v>
      </c>
      <c r="I26" s="9">
        <v>1.1574999999987605</v>
      </c>
      <c r="J26" s="9">
        <v>1.0848999999999733</v>
      </c>
      <c r="K26" s="9">
        <v>1.1799999999998176</v>
      </c>
      <c r="L26" s="9">
        <v>1.1399999999995172</v>
      </c>
      <c r="M26" s="9">
        <v>3.4399999999993502</v>
      </c>
      <c r="N26" s="9">
        <v>1.0800000000000392</v>
      </c>
      <c r="O26" s="9">
        <v>1.0950000000000129</v>
      </c>
    </row>
    <row r="27" spans="1:15" x14ac:dyDescent="0.3">
      <c r="A27" s="7">
        <v>46108</v>
      </c>
      <c r="C27">
        <v>107.59999999999323</v>
      </c>
      <c r="E27">
        <v>130.60000000000019</v>
      </c>
      <c r="F27">
        <v>111.44999999995258</v>
      </c>
      <c r="G27" s="9">
        <v>1.1144999999995258</v>
      </c>
      <c r="I27" s="9">
        <v>1.1310000000000431</v>
      </c>
      <c r="J27" s="9">
        <v>1.0909699999999889</v>
      </c>
      <c r="K27" s="9">
        <v>1.1819999999998494</v>
      </c>
      <c r="L27" s="9">
        <v>1.1299999999990507</v>
      </c>
      <c r="M27" s="9">
        <v>3.4849999999995833</v>
      </c>
      <c r="N27" s="9">
        <v>1.1049999999944762</v>
      </c>
      <c r="O27" s="9">
        <v>1.1019999999999992</v>
      </c>
    </row>
    <row r="28" spans="1:15" x14ac:dyDescent="0.3">
      <c r="A28" s="7">
        <v>46111</v>
      </c>
      <c r="C28">
        <v>107.44999999998809</v>
      </c>
      <c r="E28">
        <v>129.79999999999887</v>
      </c>
      <c r="F28">
        <v>110.34999999992765</v>
      </c>
      <c r="G28" s="9">
        <v>1.1034999999992765</v>
      </c>
      <c r="I28" s="9">
        <v>1.0800000000000565</v>
      </c>
      <c r="J28" s="9">
        <v>1.0865100000000272</v>
      </c>
      <c r="K28" s="9">
        <v>1.172999999999808</v>
      </c>
      <c r="L28" s="9">
        <v>1.1289999999990359</v>
      </c>
      <c r="M28" s="9">
        <v>3.4835000000001934</v>
      </c>
      <c r="N28" s="9">
        <v>1.1099999999976307</v>
      </c>
      <c r="O28" s="9">
        <v>1.0964999999986789</v>
      </c>
    </row>
    <row r="29" spans="1:15" x14ac:dyDescent="0.3">
      <c r="A29" s="7">
        <v>46112</v>
      </c>
      <c r="C29">
        <v>108.29999999999424</v>
      </c>
      <c r="E29">
        <v>130.300000000002</v>
      </c>
      <c r="F29">
        <v>110.29999999993643</v>
      </c>
      <c r="G29" s="9">
        <v>1.1029999999993643</v>
      </c>
      <c r="I29" s="9">
        <v>1.0690000000000301</v>
      </c>
      <c r="J29" s="9">
        <v>1.0915000000000348</v>
      </c>
      <c r="K29" s="9">
        <v>1.1744999999998007</v>
      </c>
      <c r="L29" s="9">
        <v>1.1339999999992059</v>
      </c>
      <c r="M29" s="9">
        <v>3.5300000000003466</v>
      </c>
      <c r="N29" s="9">
        <v>1.0950000000000111</v>
      </c>
      <c r="O29" s="9">
        <v>1.1023500000000188</v>
      </c>
    </row>
    <row r="30" spans="1:15" x14ac:dyDescent="0.3">
      <c r="A30" s="7">
        <v>46113</v>
      </c>
      <c r="C30">
        <v>109.10000000000069</v>
      </c>
      <c r="E30">
        <v>131.04999999999836</v>
      </c>
      <c r="F30">
        <v>110.7999999999457</v>
      </c>
      <c r="G30" s="9">
        <v>1.107999999999457</v>
      </c>
      <c r="I30" s="9">
        <v>1.0999999999998211</v>
      </c>
      <c r="J30" s="9">
        <v>1.0966900000000166</v>
      </c>
      <c r="K30" s="9">
        <v>1.178499999999858</v>
      </c>
      <c r="L30" s="9">
        <v>1.1294999999990731</v>
      </c>
      <c r="M30" s="9">
        <v>3.5690000000000417</v>
      </c>
      <c r="N30" s="9">
        <v>1.0980000000000232</v>
      </c>
      <c r="O30" s="9">
        <v>1.1049999999999873</v>
      </c>
    </row>
    <row r="31" spans="1:15" x14ac:dyDescent="0.3">
      <c r="A31" s="7">
        <v>46118</v>
      </c>
      <c r="C31">
        <v>109.74999999999665</v>
      </c>
      <c r="E31">
        <v>130.90000000000182</v>
      </c>
      <c r="F31">
        <v>110.89999999994644</v>
      </c>
      <c r="G31" s="9">
        <v>1.1089999999994644</v>
      </c>
      <c r="I31" s="9">
        <v>1.1150000000000633</v>
      </c>
      <c r="J31" s="9">
        <v>1.0989999999999649</v>
      </c>
      <c r="K31" s="9">
        <v>1.177499999999831</v>
      </c>
      <c r="L31" s="9">
        <v>1.1374999999993509</v>
      </c>
      <c r="M31" s="9">
        <v>3.6124999999959631</v>
      </c>
      <c r="N31" s="9">
        <v>1.1055000000000108</v>
      </c>
      <c r="O31" s="9">
        <v>1.1079999999999852</v>
      </c>
    </row>
    <row r="32" spans="1:15" x14ac:dyDescent="0.3">
      <c r="A32" s="7">
        <v>46119</v>
      </c>
      <c r="C32">
        <v>110.25000000000263</v>
      </c>
      <c r="E32">
        <v>130.79999999999762</v>
      </c>
      <c r="F32">
        <v>110.79999999994259</v>
      </c>
      <c r="G32" s="9">
        <v>1.1079999999994259</v>
      </c>
      <c r="I32" s="9">
        <v>1.09000000000007</v>
      </c>
      <c r="J32" s="9">
        <v>1.094800000000018</v>
      </c>
      <c r="K32" s="9">
        <v>1.1774999999997859</v>
      </c>
      <c r="L32" s="9">
        <v>1.1409999999994735</v>
      </c>
      <c r="M32" s="9">
        <v>3.5800000000000889</v>
      </c>
      <c r="N32" s="9">
        <v>1.126000000000011</v>
      </c>
      <c r="O32" s="9">
        <v>1.1080000000000125</v>
      </c>
    </row>
    <row r="33" spans="1:15" x14ac:dyDescent="0.3">
      <c r="A33" s="7">
        <v>46120</v>
      </c>
      <c r="C33">
        <v>109.79999999999788</v>
      </c>
      <c r="E33">
        <v>131.30000000000334</v>
      </c>
      <c r="F33">
        <v>110.89999999995108</v>
      </c>
      <c r="G33" s="9">
        <v>1.1089999999995108</v>
      </c>
      <c r="I33" s="9">
        <v>1.0999999999960908</v>
      </c>
      <c r="J33" s="9">
        <v>1.0964900000000091</v>
      </c>
      <c r="K33" s="9">
        <v>1.1819999999999284</v>
      </c>
      <c r="L33" s="9">
        <v>1.1319999999991799</v>
      </c>
      <c r="M33" s="9">
        <v>3.5600000000001022</v>
      </c>
      <c r="N33" s="9">
        <v>1.1300000000000012</v>
      </c>
      <c r="O33" s="9">
        <v>1.1107600000000233</v>
      </c>
    </row>
    <row r="34" spans="1:15" x14ac:dyDescent="0.3">
      <c r="A34" s="7">
        <v>46121</v>
      </c>
      <c r="C34">
        <v>109.44999999999936</v>
      </c>
      <c r="E34">
        <v>131.5000000000027</v>
      </c>
      <c r="F34">
        <v>111.59999999995959</v>
      </c>
      <c r="G34" s="9">
        <v>1.115999999999596</v>
      </c>
      <c r="I34" s="9">
        <v>1.1099999999904933</v>
      </c>
      <c r="J34" s="9">
        <v>1.0979999999999808</v>
      </c>
      <c r="K34" s="9">
        <v>1.1869999999998699</v>
      </c>
      <c r="L34" s="9">
        <v>1.1384999999992957</v>
      </c>
      <c r="M34" s="9">
        <v>3.5404999999998603</v>
      </c>
      <c r="N34" s="9">
        <v>1.1199999999956616</v>
      </c>
      <c r="O34" s="9">
        <v>1.1159999999999803</v>
      </c>
    </row>
    <row r="35" spans="1:15" x14ac:dyDescent="0.3">
      <c r="A35" s="7">
        <v>46122</v>
      </c>
      <c r="C35">
        <v>109.49999999999973</v>
      </c>
      <c r="E35">
        <v>131.79999999999504</v>
      </c>
      <c r="F35">
        <v>112.39999999997204</v>
      </c>
      <c r="G35" s="9">
        <v>1.1239999999997203</v>
      </c>
      <c r="I35" s="9">
        <v>1.1749999999987069</v>
      </c>
      <c r="J35" s="9">
        <v>1.1035999999999915</v>
      </c>
      <c r="K35" s="9">
        <v>1.1914999999999114</v>
      </c>
      <c r="L35" s="9">
        <v>1.137999999999294</v>
      </c>
      <c r="M35" s="9">
        <v>3.5589999999997133</v>
      </c>
      <c r="N35" s="9">
        <v>1.1280000000000576</v>
      </c>
      <c r="O35" s="9">
        <v>1.1175000000000006</v>
      </c>
    </row>
    <row r="36" spans="1:15" x14ac:dyDescent="0.3">
      <c r="A36" s="7">
        <v>46125</v>
      </c>
      <c r="C36">
        <v>109.54999999999784</v>
      </c>
      <c r="E36">
        <v>132.19999999999791</v>
      </c>
      <c r="F36">
        <v>112.94999999998629</v>
      </c>
      <c r="G36" s="9">
        <v>1.1294999999998629</v>
      </c>
      <c r="I36" s="9">
        <v>1.0959999999999455</v>
      </c>
      <c r="J36" s="9">
        <v>1.104999999999996</v>
      </c>
      <c r="K36" s="9">
        <v>1.1964999999999282</v>
      </c>
      <c r="L36" s="9">
        <v>1.1384999999994561</v>
      </c>
      <c r="M36" s="9">
        <v>3.5579999999997454</v>
      </c>
      <c r="N36" s="9">
        <v>1.128000000000029</v>
      </c>
      <c r="O36" s="9">
        <v>1.1199999999999819</v>
      </c>
    </row>
    <row r="37" spans="1:15" x14ac:dyDescent="0.3">
      <c r="A37" s="7">
        <v>46126</v>
      </c>
      <c r="C37">
        <v>109.30000000000398</v>
      </c>
      <c r="E37">
        <v>132.7500000000073</v>
      </c>
      <c r="F37">
        <v>113.29999999998589</v>
      </c>
      <c r="G37" s="9">
        <v>1.1329999999998588</v>
      </c>
      <c r="I37" s="9">
        <v>1.0949999999999471</v>
      </c>
      <c r="J37" s="9">
        <v>1.1105000000000222</v>
      </c>
      <c r="K37" s="9">
        <v>1.2059999999999242</v>
      </c>
      <c r="L37" s="9">
        <v>1.1429999999995082</v>
      </c>
      <c r="M37" s="9">
        <v>3.572500000000153</v>
      </c>
      <c r="N37" s="9">
        <v>1.1099999999999814</v>
      </c>
      <c r="O37" s="9">
        <v>1.1265000000000049</v>
      </c>
    </row>
    <row r="38" spans="1:15" x14ac:dyDescent="0.3">
      <c r="A38" s="7">
        <v>46127</v>
      </c>
      <c r="C38">
        <v>109.00000000000314</v>
      </c>
      <c r="E38">
        <v>133.99999999999946</v>
      </c>
      <c r="F38">
        <v>114.59999999998804</v>
      </c>
      <c r="G38" s="9">
        <v>1.1459999999998804</v>
      </c>
      <c r="I38" s="9">
        <v>1.120000000000039</v>
      </c>
      <c r="J38" s="9">
        <v>1.1136000000000235</v>
      </c>
      <c r="K38" s="9">
        <v>1.2144999999999788</v>
      </c>
      <c r="L38" s="9">
        <v>1.1609999999997871</v>
      </c>
      <c r="M38" s="9">
        <v>3.6049999999999924</v>
      </c>
      <c r="N38" s="9">
        <v>1.1399999999999366</v>
      </c>
      <c r="O38" s="9">
        <v>1.1313000000000115</v>
      </c>
    </row>
    <row r="39" spans="1:15" x14ac:dyDescent="0.3">
      <c r="A39" s="7">
        <v>46128</v>
      </c>
      <c r="C39">
        <v>109.24999999999714</v>
      </c>
      <c r="E39">
        <v>134.04999999999671</v>
      </c>
      <c r="F39">
        <v>114.74999999999494</v>
      </c>
      <c r="G39" s="9">
        <v>1.1474999999999493</v>
      </c>
      <c r="I39" s="9">
        <v>1.1020000000000651</v>
      </c>
      <c r="J39" s="9">
        <v>1.1198999999999806</v>
      </c>
      <c r="K39" s="9">
        <v>1.2180000000000542</v>
      </c>
      <c r="L39" s="9">
        <v>1.1649999999997898</v>
      </c>
      <c r="M39" s="9">
        <v>3.6260000000001482</v>
      </c>
      <c r="N39" s="9">
        <v>1.1199999999999937</v>
      </c>
      <c r="O39" s="9">
        <v>1.1339999999999877</v>
      </c>
    </row>
    <row r="40" spans="1:15" x14ac:dyDescent="0.3">
      <c r="A40" s="7">
        <v>46129</v>
      </c>
      <c r="C40">
        <v>110.19999999999675</v>
      </c>
      <c r="E40">
        <v>135.29999999999822</v>
      </c>
      <c r="F40">
        <v>115.74999999999098</v>
      </c>
      <c r="G40" s="9">
        <v>1.1574999999999098</v>
      </c>
      <c r="I40" s="9">
        <v>1.1169999999962306</v>
      </c>
      <c r="J40" s="9">
        <v>1.1299999999999839</v>
      </c>
      <c r="K40" s="9">
        <v>1.226499999999993</v>
      </c>
      <c r="L40" s="9">
        <v>1.1819999999999331</v>
      </c>
      <c r="M40" s="9">
        <v>3.6799999999879862</v>
      </c>
      <c r="N40" s="9">
        <v>1.1299999999948867</v>
      </c>
      <c r="O40" s="9">
        <v>1.1479999999999899</v>
      </c>
    </row>
    <row r="41" spans="1:15" x14ac:dyDescent="0.3">
      <c r="A41" s="7">
        <v>46132</v>
      </c>
      <c r="C41">
        <v>110.40000000000272</v>
      </c>
      <c r="E41">
        <v>136.04999999999694</v>
      </c>
      <c r="F41">
        <v>115.84999999999677</v>
      </c>
      <c r="G41" s="9">
        <v>1.1584999999999677</v>
      </c>
      <c r="I41" s="9">
        <v>1.116999999999146</v>
      </c>
      <c r="J41" s="9">
        <v>1.1294000000000219</v>
      </c>
      <c r="K41" s="9">
        <v>1.2284999999999924</v>
      </c>
      <c r="L41" s="9">
        <v>1.1780000000000383</v>
      </c>
      <c r="M41" s="9">
        <v>3.6700000000001189</v>
      </c>
      <c r="N41" s="9">
        <v>1.1349999999997946</v>
      </c>
      <c r="O41" s="9">
        <v>1.1478999999999802</v>
      </c>
    </row>
    <row r="42" spans="1:15" x14ac:dyDescent="0.3">
      <c r="A42" s="7">
        <v>46133</v>
      </c>
      <c r="C42">
        <v>110.50000000000686</v>
      </c>
      <c r="E42">
        <v>135.69999999999905</v>
      </c>
      <c r="F42">
        <v>116.09999999999697</v>
      </c>
      <c r="G42" s="9">
        <v>1.1609999999999696</v>
      </c>
      <c r="I42" s="9">
        <v>1.1159999999922972</v>
      </c>
      <c r="J42" s="9">
        <v>1.125499999999974</v>
      </c>
      <c r="K42" s="9">
        <v>1.2284999999999893</v>
      </c>
      <c r="L42" s="9">
        <v>1.1794999999999423</v>
      </c>
      <c r="M42" s="9">
        <v>3.6600000000000579</v>
      </c>
      <c r="N42" s="9">
        <v>1.1374999999934998</v>
      </c>
      <c r="O42" s="9">
        <v>1.1485000000000216</v>
      </c>
    </row>
    <row r="43" spans="1:15" x14ac:dyDescent="0.3">
      <c r="A43" s="7">
        <v>46134</v>
      </c>
      <c r="C43">
        <v>110.79999999999932</v>
      </c>
      <c r="E43">
        <v>135.99999999999736</v>
      </c>
      <c r="F43">
        <v>115.94999999999833</v>
      </c>
      <c r="G43" s="9">
        <v>1.1594999999999833</v>
      </c>
      <c r="I43" s="9">
        <v>1.110000000000021</v>
      </c>
      <c r="J43" s="9">
        <v>1.128399999999997</v>
      </c>
      <c r="K43" s="9">
        <v>1.2300000000000901</v>
      </c>
      <c r="L43" s="9">
        <v>1.1824999999998469</v>
      </c>
      <c r="M43" s="9">
        <v>3.66749999999996</v>
      </c>
      <c r="N43" s="9">
        <v>1.1299999999934778</v>
      </c>
      <c r="O43" s="9">
        <v>1.1477499999999956</v>
      </c>
    </row>
    <row r="44" spans="1:15" x14ac:dyDescent="0.3">
      <c r="A44" s="7">
        <v>46135</v>
      </c>
      <c r="C44">
        <v>110.69999999999899</v>
      </c>
      <c r="E44">
        <v>135.29999999999785</v>
      </c>
      <c r="F44">
        <v>115.64999999999405</v>
      </c>
      <c r="G44" s="9">
        <v>1.1564999999999406</v>
      </c>
      <c r="I44" s="9">
        <v>1.1109999999999829</v>
      </c>
      <c r="J44" s="9">
        <v>1.1240000000000174</v>
      </c>
      <c r="K44" s="9">
        <v>1.2254999999999314</v>
      </c>
      <c r="L44" s="9">
        <v>1.1749999999999348</v>
      </c>
      <c r="M44" s="9">
        <v>3.643499999999833</v>
      </c>
      <c r="N44" s="9">
        <v>1.1299999999999444</v>
      </c>
      <c r="O44" s="9">
        <v>1.137999999999977</v>
      </c>
    </row>
    <row r="45" spans="1:15" x14ac:dyDescent="0.3">
      <c r="A45" s="7">
        <v>46136</v>
      </c>
      <c r="C45">
        <v>110.29999999999556</v>
      </c>
      <c r="E45">
        <v>135.25000000000549</v>
      </c>
      <c r="F45">
        <v>115.49999999999206</v>
      </c>
      <c r="G45" s="9">
        <v>1.1549999999999205</v>
      </c>
      <c r="I45" s="9">
        <v>1.1125000000000396</v>
      </c>
      <c r="J45" s="9">
        <v>1.1254999999999793</v>
      </c>
      <c r="K45" s="9">
        <v>1.2264999999999966</v>
      </c>
      <c r="L45" s="9">
        <v>1.1654999999998201</v>
      </c>
      <c r="M45" s="9">
        <v>3.6394999999999591</v>
      </c>
      <c r="N45" s="9">
        <v>1.128999999999994</v>
      </c>
      <c r="O45" s="9">
        <v>1.1409999999999791</v>
      </c>
    </row>
    <row r="46" spans="1:15" x14ac:dyDescent="0.3">
      <c r="A46" s="7">
        <v>46139</v>
      </c>
      <c r="C46">
        <v>110.4999999999927</v>
      </c>
      <c r="E46">
        <v>134.50000000000492</v>
      </c>
      <c r="F46">
        <v>115.2499999999949</v>
      </c>
      <c r="G46" s="9">
        <v>1.152499999999949</v>
      </c>
      <c r="I46" s="9">
        <v>1.109500000000043</v>
      </c>
      <c r="J46" s="9">
        <v>1.1253900000000177</v>
      </c>
      <c r="K46" s="9">
        <v>1.2215000000000216</v>
      </c>
      <c r="L46" s="9">
        <v>1.1649999999999527</v>
      </c>
      <c r="M46" s="9">
        <v>3.6289999999999232</v>
      </c>
      <c r="N46" s="9">
        <v>1.1300000000000365</v>
      </c>
      <c r="O46" s="9">
        <v>1.1399599999999728</v>
      </c>
    </row>
    <row r="47" spans="1:15" x14ac:dyDescent="0.3">
      <c r="A47" s="7">
        <v>46140</v>
      </c>
      <c r="C47">
        <v>110.29999999999545</v>
      </c>
      <c r="E47">
        <v>135.00000000000173</v>
      </c>
      <c r="F47">
        <v>115.44999999999435</v>
      </c>
      <c r="G47" s="9">
        <v>1.1544999999999435</v>
      </c>
      <c r="I47" s="9">
        <v>1.1129999999999858</v>
      </c>
      <c r="J47" s="9">
        <v>1.1280000000000185</v>
      </c>
      <c r="K47" s="9">
        <v>1.2250000000000234</v>
      </c>
      <c r="L47" s="9">
        <v>1.1899999999998958</v>
      </c>
      <c r="M47" s="9">
        <v>3.6325000000001535</v>
      </c>
      <c r="N47" s="9">
        <v>1.132000000000049</v>
      </c>
      <c r="O47" s="9">
        <v>1.1374999999999995</v>
      </c>
    </row>
    <row r="48" spans="1:15" x14ac:dyDescent="0.3">
      <c r="A48" s="7">
        <v>46141</v>
      </c>
      <c r="C48">
        <v>110.4000000000002</v>
      </c>
      <c r="E48">
        <v>134.39000000000016</v>
      </c>
      <c r="F48">
        <v>115.34999999999246</v>
      </c>
      <c r="G48" s="9">
        <v>1.1534999999999247</v>
      </c>
      <c r="I48" s="9">
        <v>1.1289999999945186</v>
      </c>
      <c r="J48" s="9">
        <v>1.1274999999999979</v>
      </c>
      <c r="K48" s="9">
        <v>1.2154999999999605</v>
      </c>
      <c r="L48" s="9">
        <v>1.1704999999999357</v>
      </c>
      <c r="M48" s="9">
        <v>3.5849999999999933</v>
      </c>
      <c r="N48" s="9">
        <v>1.1289999999999845</v>
      </c>
      <c r="O48" s="9">
        <v>1.1289999999999949</v>
      </c>
    </row>
    <row r="49" spans="1:15" x14ac:dyDescent="0.3">
      <c r="A49" s="7">
        <v>46142</v>
      </c>
      <c r="C49">
        <v>110.99999999999972</v>
      </c>
      <c r="E49">
        <v>134.99999999999784</v>
      </c>
      <c r="F49">
        <v>116.39999999999311</v>
      </c>
      <c r="G49" s="9">
        <v>1.1639999999999311</v>
      </c>
      <c r="I49" s="9">
        <v>1.1249999999999212</v>
      </c>
      <c r="J49" s="9">
        <v>1.133000000000002</v>
      </c>
      <c r="K49" s="9">
        <v>1.2245000000000259</v>
      </c>
      <c r="L49" s="9">
        <v>1.195000000000052</v>
      </c>
      <c r="M49" s="9">
        <v>3.5909999999996751</v>
      </c>
      <c r="N49" s="9">
        <v>1.1345000000000405</v>
      </c>
      <c r="O49" s="9">
        <v>1.1309999999999985</v>
      </c>
    </row>
    <row r="50" spans="1:15" x14ac:dyDescent="0.3">
      <c r="A50" s="7">
        <v>46146</v>
      </c>
      <c r="C50">
        <v>110.44999999999776</v>
      </c>
      <c r="E50">
        <v>135.28999999999888</v>
      </c>
      <c r="F50">
        <v>115.94999999999341</v>
      </c>
      <c r="G50" s="9">
        <v>1.159499999999934</v>
      </c>
      <c r="I50" s="9">
        <v>1.1250000000000029</v>
      </c>
      <c r="J50" s="9">
        <v>1.1294999999999791</v>
      </c>
      <c r="K50" s="9">
        <v>1.2262000000000133</v>
      </c>
      <c r="L50" s="9">
        <v>1.1890000000000018</v>
      </c>
      <c r="M50" s="9">
        <v>3.6185000000001999</v>
      </c>
      <c r="N50" s="9">
        <v>1.1350000000000475</v>
      </c>
      <c r="O50" s="9">
        <v>1.1348999999999807</v>
      </c>
    </row>
    <row r="51" spans="1:15" x14ac:dyDescent="0.3">
      <c r="A51" s="7">
        <v>46147</v>
      </c>
      <c r="C51">
        <v>110.7999999999989</v>
      </c>
      <c r="E51">
        <v>135.14000000000161</v>
      </c>
      <c r="F51">
        <v>115.40999999998883</v>
      </c>
      <c r="G51" s="9">
        <v>1.1540999999998882</v>
      </c>
      <c r="I51" s="9">
        <v>1.1104999999999505</v>
      </c>
      <c r="J51" s="9">
        <v>1.1270100000000043</v>
      </c>
      <c r="K51" s="9">
        <v>1.2269999999999843</v>
      </c>
      <c r="L51" s="9">
        <v>1.1834999999999101</v>
      </c>
      <c r="M51" s="9">
        <v>3.6385000000000192</v>
      </c>
      <c r="N51" s="9">
        <v>1.1409999999999991</v>
      </c>
      <c r="O51" s="9">
        <v>1.1387999999999905</v>
      </c>
    </row>
    <row r="52" spans="1:15" x14ac:dyDescent="0.3">
      <c r="A52" s="7">
        <v>46148</v>
      </c>
      <c r="C52">
        <v>110.90000000000208</v>
      </c>
      <c r="E52">
        <v>135.70000000000155</v>
      </c>
      <c r="F52">
        <v>115.79999999999897</v>
      </c>
      <c r="G52" s="9">
        <v>1.1579999999999897</v>
      </c>
      <c r="I52" s="9">
        <v>1.1124999999999903</v>
      </c>
      <c r="J52" s="9">
        <v>1.1375000000000077</v>
      </c>
      <c r="K52" s="9">
        <v>1.2323999999999626</v>
      </c>
      <c r="L52" s="9">
        <v>1.1829999999998806</v>
      </c>
      <c r="M52" s="9">
        <v>3.6814999999997435</v>
      </c>
      <c r="N52" s="9">
        <v>1.1385000000000418</v>
      </c>
      <c r="O52" s="9">
        <v>1.1409999999999989</v>
      </c>
    </row>
    <row r="53" spans="1:15" x14ac:dyDescent="0.3">
      <c r="A53" s="7">
        <v>46149</v>
      </c>
      <c r="C53">
        <v>111.15000000000531</v>
      </c>
      <c r="E53">
        <v>136.19999999999476</v>
      </c>
      <c r="F53">
        <v>116.4999999999971</v>
      </c>
      <c r="G53" s="9">
        <v>1.1649999999999709</v>
      </c>
      <c r="I53" s="9">
        <v>1.1150000000000697</v>
      </c>
      <c r="J53" s="9">
        <v>1.1385000000000032</v>
      </c>
      <c r="K53" s="9">
        <v>1.2345000000000192</v>
      </c>
      <c r="L53" s="9">
        <v>1.1814999999999736</v>
      </c>
      <c r="M53" s="9">
        <v>3.6824999999999299</v>
      </c>
      <c r="N53" s="9">
        <v>1.1445000000000323</v>
      </c>
      <c r="O53" s="9">
        <v>1.1470099999999774</v>
      </c>
    </row>
    <row r="54" spans="1:15" x14ac:dyDescent="0.3">
      <c r="A54" s="7">
        <v>46150</v>
      </c>
      <c r="C54">
        <v>111.50000000000003</v>
      </c>
      <c r="E54">
        <v>136.59999999999917</v>
      </c>
      <c r="F54">
        <v>116.89999999999712</v>
      </c>
      <c r="G54" s="9">
        <v>1.1689999999999712</v>
      </c>
      <c r="I54" s="9">
        <v>1.1230000000000686</v>
      </c>
      <c r="J54" s="9">
        <v>1.1410000000000238</v>
      </c>
      <c r="K54" s="9">
        <v>1.2383899999999399</v>
      </c>
      <c r="L54" s="9">
        <v>1.2050000000000294</v>
      </c>
      <c r="M54" s="9">
        <v>3.6849999999998762</v>
      </c>
      <c r="N54" s="9">
        <v>1.1524999999999681</v>
      </c>
      <c r="O54" s="9">
        <v>1.1539999999999726</v>
      </c>
    </row>
    <row r="55" spans="1:15" x14ac:dyDescent="0.3">
      <c r="A55" s="7">
        <v>46153</v>
      </c>
      <c r="C55">
        <v>111.80000000000103</v>
      </c>
      <c r="E55">
        <v>137.1300000000023</v>
      </c>
      <c r="F55">
        <v>117.2799999999897</v>
      </c>
      <c r="G55" s="9">
        <v>1.172799999999897</v>
      </c>
      <c r="I55" s="9">
        <v>1.1349999999999283</v>
      </c>
      <c r="J55" s="9">
        <v>1.1460000000000159</v>
      </c>
      <c r="K55" s="9">
        <v>1.2444999999999686</v>
      </c>
      <c r="L55" s="9">
        <v>1.19399999999994</v>
      </c>
      <c r="M55" s="9">
        <v>3.7349999999999941</v>
      </c>
      <c r="N55" s="9">
        <v>1.1645000000000527</v>
      </c>
      <c r="O55" s="9">
        <v>1.1534999999999949</v>
      </c>
    </row>
    <row r="56" spans="1:15" x14ac:dyDescent="0.3">
      <c r="A56" s="7">
        <v>46154</v>
      </c>
      <c r="C56">
        <v>112.20000000000037</v>
      </c>
      <c r="E56">
        <v>137.11000000000124</v>
      </c>
      <c r="F56">
        <v>117.19999999999644</v>
      </c>
      <c r="G56" s="9">
        <v>1.1719999999999644</v>
      </c>
      <c r="I56" s="9">
        <v>1.1449999999956426</v>
      </c>
      <c r="J56" s="9">
        <v>1.143049999999999</v>
      </c>
      <c r="K56" s="9">
        <v>1.244400000000033</v>
      </c>
      <c r="L56" s="9">
        <v>1.1960000000000077</v>
      </c>
      <c r="M56" s="9">
        <v>3.7299999999998055</v>
      </c>
      <c r="N56" s="9">
        <v>1.1645000000000121</v>
      </c>
      <c r="O56" s="9">
        <v>1.1540000000000215</v>
      </c>
    </row>
    <row r="57" spans="1:15" x14ac:dyDescent="0.3">
      <c r="A57" s="7">
        <v>46155</v>
      </c>
      <c r="C57">
        <v>112.15000000000126</v>
      </c>
      <c r="E57">
        <v>137.4979999999918</v>
      </c>
      <c r="F57">
        <v>117.49999999999643</v>
      </c>
      <c r="G57" s="9">
        <v>1.1749999999999643</v>
      </c>
      <c r="I57" s="9">
        <v>1.1395000000000084</v>
      </c>
      <c r="J57" s="9">
        <v>1.1475000000000135</v>
      </c>
      <c r="K57" s="9">
        <v>1.2449999999999917</v>
      </c>
      <c r="L57" s="9">
        <v>1.1940000000000046</v>
      </c>
      <c r="M57" s="9">
        <v>3.7284999999997122</v>
      </c>
      <c r="N57" s="9">
        <v>1.1644999999999777</v>
      </c>
      <c r="O57" s="9">
        <v>1.1549999999999958</v>
      </c>
    </row>
    <row r="58" spans="1:15" x14ac:dyDescent="0.3">
      <c r="A58" s="7">
        <v>46156</v>
      </c>
      <c r="C58">
        <v>112.60000000000352</v>
      </c>
      <c r="E58">
        <v>138.00000000000119</v>
      </c>
      <c r="F58">
        <v>118.48000000000083</v>
      </c>
      <c r="G58" s="9">
        <v>1.1848000000000083</v>
      </c>
      <c r="I58" s="9">
        <v>1.135999999999932</v>
      </c>
      <c r="J58" s="9">
        <v>1.1519999999999697</v>
      </c>
      <c r="K58" s="9">
        <v>1.2516100000000099</v>
      </c>
      <c r="L58" s="9">
        <v>1.209999999999964</v>
      </c>
      <c r="M58" s="9">
        <v>3.7360000000002209</v>
      </c>
      <c r="N58" s="9">
        <v>1.1599999999999886</v>
      </c>
      <c r="O58" s="9">
        <v>1.1555000000000009</v>
      </c>
    </row>
    <row r="59" spans="1:15" x14ac:dyDescent="0.3">
      <c r="A59" s="7">
        <v>46157</v>
      </c>
      <c r="C59">
        <v>112.6499999999979</v>
      </c>
      <c r="E59">
        <v>138.10000000000443</v>
      </c>
      <c r="F59">
        <v>118.64999999999289</v>
      </c>
      <c r="G59" s="9">
        <v>1.1864999999999288</v>
      </c>
      <c r="I59" s="9">
        <v>1.1350000000000104</v>
      </c>
      <c r="J59" s="9">
        <v>1.1564899999999947</v>
      </c>
      <c r="K59" s="9">
        <v>1.2545000000000366</v>
      </c>
      <c r="L59" s="9">
        <v>1.2139999999999558</v>
      </c>
      <c r="M59" s="9">
        <v>3.7454999999997067</v>
      </c>
      <c r="N59" s="9">
        <v>1.1609999999994896</v>
      </c>
      <c r="O59" s="9">
        <v>1.1584999999999721</v>
      </c>
    </row>
    <row r="60" spans="1:15" x14ac:dyDescent="0.3">
      <c r="A60" s="7">
        <v>46160</v>
      </c>
      <c r="C60">
        <v>112.84999999999911</v>
      </c>
      <c r="E60">
        <v>138.4000000000035</v>
      </c>
      <c r="F60">
        <v>118.4499999999957</v>
      </c>
      <c r="G60" s="9">
        <v>1.184499999999957</v>
      </c>
      <c r="I60" s="9">
        <v>1.1325000000000338</v>
      </c>
      <c r="J60" s="9">
        <v>1.1559800000000222</v>
      </c>
      <c r="K60" s="9">
        <v>1.2525000000000128</v>
      </c>
      <c r="L60" s="9">
        <v>1.2149999999999803</v>
      </c>
      <c r="M60" s="9">
        <v>3.7479999999999656</v>
      </c>
      <c r="N60" s="9">
        <v>1.1600000000000166</v>
      </c>
      <c r="O60" s="9">
        <v>1.1604000000000068</v>
      </c>
    </row>
    <row r="61" spans="1:15" x14ac:dyDescent="0.3">
      <c r="A61" s="7">
        <v>46161</v>
      </c>
      <c r="C61">
        <v>112.95000000000435</v>
      </c>
      <c r="E61">
        <v>138.41199999999841</v>
      </c>
      <c r="F61">
        <v>118.54999999999771</v>
      </c>
      <c r="G61" s="9">
        <v>1.1854999999999771</v>
      </c>
      <c r="I61" s="9">
        <v>1.1349999999999771</v>
      </c>
      <c r="J61" s="9">
        <v>1.1531000000000042</v>
      </c>
      <c r="K61" s="9">
        <v>1.2519999999999556</v>
      </c>
      <c r="L61" s="9">
        <v>1.2174899999999971</v>
      </c>
      <c r="M61" s="9">
        <v>3.7389999999999355</v>
      </c>
      <c r="N61" s="9">
        <v>1.1619999999999262</v>
      </c>
      <c r="O61" s="9">
        <v>1.164499999999993</v>
      </c>
    </row>
    <row r="62" spans="1:15" x14ac:dyDescent="0.3">
      <c r="A62" s="7">
        <v>46162</v>
      </c>
      <c r="C62">
        <v>113.44999999999901</v>
      </c>
      <c r="E62">
        <v>138.47000000000398</v>
      </c>
      <c r="F62">
        <v>118.49999999999639</v>
      </c>
      <c r="G62" s="9">
        <v>1.1849999999999639</v>
      </c>
      <c r="I62" s="9">
        <v>1.1349999999999849</v>
      </c>
      <c r="J62" s="9">
        <v>1.1544999999999981</v>
      </c>
      <c r="K62" s="9">
        <v>1.2520000000000089</v>
      </c>
      <c r="L62" s="9">
        <v>1.2200000000000226</v>
      </c>
      <c r="M62" s="9">
        <v>3.7240000000002205</v>
      </c>
      <c r="N62" s="9">
        <v>1.163000000000058</v>
      </c>
      <c r="O62" s="9">
        <v>1.1655000000000131</v>
      </c>
    </row>
    <row r="63" spans="1:15" x14ac:dyDescent="0.3">
      <c r="A63" s="7">
        <v>46163</v>
      </c>
      <c r="C63">
        <v>113.99999999999595</v>
      </c>
      <c r="E63">
        <v>138.61800000000457</v>
      </c>
      <c r="F63">
        <v>118.14999999999787</v>
      </c>
      <c r="G63" s="9">
        <v>1.1814999999999787</v>
      </c>
      <c r="I63" s="9">
        <v>1.1349999999999929</v>
      </c>
      <c r="J63" s="9">
        <v>1.1572000000000076</v>
      </c>
      <c r="K63" s="9">
        <v>1.252900000000003</v>
      </c>
      <c r="L63" s="9">
        <v>1.2225000000000454</v>
      </c>
      <c r="M63" s="9">
        <v>3.7234999999998486</v>
      </c>
      <c r="N63" s="9">
        <v>1.154999999999996</v>
      </c>
      <c r="O63" s="9">
        <v>1.1669999999999983</v>
      </c>
    </row>
    <row r="64" spans="1:15" x14ac:dyDescent="0.3">
      <c r="A64" s="7">
        <v>46164</v>
      </c>
      <c r="C64">
        <v>114.35000000000058</v>
      </c>
      <c r="E64">
        <v>138.94999999999541</v>
      </c>
      <c r="F64">
        <v>118.7989999999967</v>
      </c>
      <c r="G64" s="9">
        <v>1.187989999999967</v>
      </c>
      <c r="I64" s="9">
        <v>1.1360000000000046</v>
      </c>
      <c r="J64" s="9">
        <v>1.1585000000000016</v>
      </c>
      <c r="K64" s="9">
        <v>1.2575000000000129</v>
      </c>
      <c r="L64" s="9">
        <v>1.2184999999999764</v>
      </c>
      <c r="M64" s="9">
        <v>3.7205000000000528</v>
      </c>
      <c r="N64" s="9">
        <v>1.1604999999999952</v>
      </c>
      <c r="O64" s="9">
        <v>1.1699999999999939</v>
      </c>
    </row>
    <row r="65" spans="1:15" x14ac:dyDescent="0.3">
      <c r="A65" s="7">
        <v>46168</v>
      </c>
      <c r="C65">
        <v>114.50000000000176</v>
      </c>
      <c r="E65">
        <v>139.18599999999876</v>
      </c>
      <c r="F65">
        <v>118.94999999999614</v>
      </c>
      <c r="G65" s="9">
        <v>1.1894999999999614</v>
      </c>
      <c r="I65" s="9">
        <v>1.1370000000000622</v>
      </c>
      <c r="J65" s="9">
        <v>1.1595000000000015</v>
      </c>
      <c r="K65" s="9">
        <v>1.2599999999999236</v>
      </c>
      <c r="L65" s="9">
        <v>1.2199999999999536</v>
      </c>
      <c r="M65" s="9">
        <v>3.7319999999998923</v>
      </c>
      <c r="N65" s="9">
        <v>1.164000000000021</v>
      </c>
      <c r="O65" s="9">
        <v>1.1714999999999955</v>
      </c>
    </row>
    <row r="66" spans="1:15" x14ac:dyDescent="0.3">
      <c r="A66" s="7">
        <v>46169</v>
      </c>
      <c r="C66">
        <v>114.6000000000034</v>
      </c>
      <c r="E66">
        <v>138.88000000000235</v>
      </c>
      <c r="F66">
        <v>119.19999999999833</v>
      </c>
      <c r="G66" s="9">
        <v>1.1919999999999833</v>
      </c>
      <c r="I66" s="9">
        <v>1.1370000000000469</v>
      </c>
      <c r="J66" s="9">
        <v>1.1571299999999836</v>
      </c>
      <c r="K66" s="9">
        <v>1.2605000000000148</v>
      </c>
      <c r="L66" s="9">
        <v>1.2273000000000012</v>
      </c>
      <c r="M66" s="9">
        <v>3.7365000000002211</v>
      </c>
      <c r="N66" s="9">
        <v>1.1535000000000286</v>
      </c>
      <c r="O66" s="9">
        <v>1.172499999999995</v>
      </c>
    </row>
    <row r="67" spans="1:15" x14ac:dyDescent="0.3">
      <c r="A67" s="7">
        <v>46170</v>
      </c>
      <c r="C67">
        <v>114.55000000000256</v>
      </c>
      <c r="E67">
        <v>139.53999999999965</v>
      </c>
      <c r="F67">
        <v>119.1899999999993</v>
      </c>
      <c r="G67" s="9">
        <v>1.1918999999999931</v>
      </c>
      <c r="I67" s="9">
        <v>1.1399999999999935</v>
      </c>
      <c r="J67" s="9">
        <v>1.1600000000000212</v>
      </c>
      <c r="K67" s="9">
        <v>1.2629999999999006</v>
      </c>
      <c r="L67" s="9">
        <v>1.2263100000000533</v>
      </c>
      <c r="M67" s="9">
        <v>3.7380000000000906</v>
      </c>
      <c r="N67" s="9">
        <v>1.1595000000000197</v>
      </c>
      <c r="O67" s="9">
        <v>1.172950000000003</v>
      </c>
    </row>
    <row r="68" spans="1:15" x14ac:dyDescent="0.3">
      <c r="A68" s="7">
        <v>46171</v>
      </c>
      <c r="C68">
        <v>114.8499999999985</v>
      </c>
      <c r="E68">
        <v>139.8499999999988</v>
      </c>
      <c r="F68">
        <v>119.89000000000529</v>
      </c>
      <c r="G68" s="9">
        <v>1.1989000000000529</v>
      </c>
      <c r="I68" s="9">
        <v>1.1434999999999684</v>
      </c>
      <c r="J68" s="9">
        <v>1.1654899999999877</v>
      </c>
      <c r="K68" s="9">
        <v>1.2688999999999759</v>
      </c>
      <c r="L68" s="9">
        <v>1.2289999999999006</v>
      </c>
      <c r="M68" s="9">
        <v>3.7754999999998859</v>
      </c>
      <c r="N68" s="9">
        <v>1.1699999999999424</v>
      </c>
      <c r="O68" s="9">
        <v>1.176999999999998</v>
      </c>
    </row>
    <row r="69" spans="1:15" x14ac:dyDescent="0.3">
      <c r="A69" s="7">
        <v>46174</v>
      </c>
      <c r="C69">
        <v>115.09999999999874</v>
      </c>
      <c r="E69">
        <v>139.99000000000018</v>
      </c>
      <c r="F69">
        <v>119.83999999999679</v>
      </c>
      <c r="G69" s="9">
        <v>1.1983999999999679</v>
      </c>
      <c r="I69" s="9">
        <v>1.1460000000000592</v>
      </c>
      <c r="J69" s="9">
        <v>1.1649999999999878</v>
      </c>
      <c r="K69" s="9">
        <v>1.2689999999999975</v>
      </c>
      <c r="L69" s="9">
        <v>1.2309999999999655</v>
      </c>
      <c r="M69" s="9">
        <v>3.8094999999998844</v>
      </c>
      <c r="N69" s="9">
        <v>1.1680000000000126</v>
      </c>
      <c r="O69" s="9">
        <v>1.1780000000000241</v>
      </c>
    </row>
    <row r="70" spans="1:15" x14ac:dyDescent="0.3">
      <c r="A70" s="7">
        <v>46175</v>
      </c>
      <c r="C70">
        <v>115.10000000000218</v>
      </c>
      <c r="E70">
        <v>139.74999999999656</v>
      </c>
      <c r="F70">
        <v>119.60500000000064</v>
      </c>
      <c r="G70" s="9">
        <v>1.1960500000000065</v>
      </c>
      <c r="I70" s="9">
        <v>1.1509999999999945</v>
      </c>
      <c r="J70" s="9">
        <v>1.168000000000009</v>
      </c>
      <c r="K70" s="9">
        <v>1.2655500000000262</v>
      </c>
      <c r="L70" s="9">
        <v>1.232999999999971</v>
      </c>
      <c r="M70" s="9">
        <v>3.7665000000001614</v>
      </c>
      <c r="N70" s="9">
        <v>1.1690000000000798</v>
      </c>
      <c r="O70" s="9">
        <v>1.1781500000000222</v>
      </c>
    </row>
    <row r="71" spans="1:15" x14ac:dyDescent="0.3">
      <c r="A71" s="7">
        <v>46176</v>
      </c>
      <c r="C71">
        <v>114.84999999999847</v>
      </c>
      <c r="E71">
        <v>138.8509999999967</v>
      </c>
      <c r="F71">
        <v>119.18000000000302</v>
      </c>
      <c r="G71" s="9">
        <v>1.1918000000000302</v>
      </c>
      <c r="I71" s="9">
        <v>1.1495000000000184</v>
      </c>
      <c r="J71" s="9">
        <v>1.1629999999999938</v>
      </c>
      <c r="K71" s="9">
        <v>1.2624900000000039</v>
      </c>
      <c r="L71" s="9">
        <v>1.232889999999998</v>
      </c>
      <c r="M71" s="9">
        <v>3.7630000000000341</v>
      </c>
      <c r="N71" s="9">
        <v>1.1674999999999773</v>
      </c>
      <c r="O71" s="9">
        <v>1.1769999999999967</v>
      </c>
    </row>
    <row r="72" spans="1:15" x14ac:dyDescent="0.3">
      <c r="A72" s="7">
        <v>46177</v>
      </c>
      <c r="C72">
        <v>114.79999999999721</v>
      </c>
      <c r="E72">
        <v>139.34999999999917</v>
      </c>
      <c r="F72">
        <v>119.5000000000032</v>
      </c>
      <c r="G72" s="9">
        <v>1.195000000000032</v>
      </c>
      <c r="I72" s="9">
        <v>1.1510000000000309</v>
      </c>
      <c r="J72" s="9">
        <v>1.1669999999999974</v>
      </c>
      <c r="K72" s="9">
        <v>1.2662000000000624</v>
      </c>
      <c r="L72" s="9">
        <v>1.2265000000000104</v>
      </c>
      <c r="M72" s="9">
        <v>3.8200000000000416</v>
      </c>
      <c r="N72" s="9">
        <v>1.1709999999999228</v>
      </c>
      <c r="O72" s="9">
        <v>1.1776000000000135</v>
      </c>
    </row>
    <row r="73" spans="1:15" x14ac:dyDescent="0.3">
      <c r="A73" s="7">
        <v>46178</v>
      </c>
      <c r="C73">
        <v>114.99999999999977</v>
      </c>
      <c r="E73">
        <v>139.60000000000204</v>
      </c>
      <c r="F73">
        <v>119.74999999999282</v>
      </c>
      <c r="G73" s="9">
        <v>1.1974999999999283</v>
      </c>
      <c r="I73" s="9">
        <v>1.1530000000000376</v>
      </c>
      <c r="J73" s="9">
        <v>1.1695499999999952</v>
      </c>
      <c r="K73" s="9">
        <v>1.2672000000000052</v>
      </c>
      <c r="L73" s="9">
        <v>1.2299999999999534</v>
      </c>
      <c r="M73" s="9">
        <v>3.7960000000003333</v>
      </c>
      <c r="N73" s="9">
        <v>1.1675000000000129</v>
      </c>
      <c r="O73" s="9">
        <v>1.1820000000000008</v>
      </c>
    </row>
    <row r="74" spans="1:15" x14ac:dyDescent="0.3">
      <c r="A74" s="7">
        <v>46181</v>
      </c>
      <c r="C74">
        <v>115.10000000000066</v>
      </c>
      <c r="E74">
        <v>139.64999999999506</v>
      </c>
      <c r="F74">
        <v>119.90000000000431</v>
      </c>
      <c r="G74" s="9">
        <v>1.1990000000000431</v>
      </c>
      <c r="I74" s="9">
        <v>1.1574999999999891</v>
      </c>
      <c r="J74" s="9">
        <v>1.1724999999999737</v>
      </c>
      <c r="K74" s="9">
        <v>1.2705000000000379</v>
      </c>
      <c r="L74" s="9">
        <v>1.2350000000000501</v>
      </c>
      <c r="M74" s="9">
        <v>3.7875000000000409</v>
      </c>
      <c r="N74" s="9">
        <v>1.1714999999999707</v>
      </c>
      <c r="O74" s="9">
        <v>1.1833999999999674</v>
      </c>
    </row>
    <row r="75" spans="1:15" x14ac:dyDescent="0.3">
      <c r="A75" s="7">
        <v>46182</v>
      </c>
      <c r="C75">
        <v>115.09999999999559</v>
      </c>
      <c r="E75">
        <v>140.34899999999513</v>
      </c>
      <c r="F75">
        <v>120.35000000000215</v>
      </c>
      <c r="G75" s="9">
        <v>1.2035000000000216</v>
      </c>
      <c r="I75" s="9">
        <v>1.160000000000077</v>
      </c>
      <c r="J75" s="9">
        <v>1.1725000000000083</v>
      </c>
      <c r="K75" s="9">
        <v>1.2738799999999886</v>
      </c>
      <c r="L75" s="9">
        <v>1.2389999999999979</v>
      </c>
      <c r="M75" s="9">
        <v>3.791000000000059</v>
      </c>
      <c r="N75" s="9">
        <v>1.1729999999999661</v>
      </c>
      <c r="O75" s="9">
        <v>1.1875000000000007</v>
      </c>
    </row>
    <row r="76" spans="1:15" x14ac:dyDescent="0.3">
      <c r="A76" s="7">
        <v>46183</v>
      </c>
      <c r="C76">
        <v>114.95000000000061</v>
      </c>
      <c r="E76">
        <v>140.9499999999947</v>
      </c>
      <c r="F76">
        <v>120.64899999999818</v>
      </c>
      <c r="G76" s="9">
        <v>1.2064899999999819</v>
      </c>
      <c r="I76" s="9">
        <v>1.1620000000000075</v>
      </c>
      <c r="J76" s="9">
        <v>1.1712999999999791</v>
      </c>
      <c r="K76" s="9">
        <v>1.2775000000000216</v>
      </c>
      <c r="L76" s="9">
        <v>1.2474999999999925</v>
      </c>
      <c r="M76" s="9">
        <v>3.7980000000002354</v>
      </c>
      <c r="N76" s="9">
        <v>1.1840000000000153</v>
      </c>
      <c r="O76" s="9">
        <v>1.1877500000000092</v>
      </c>
    </row>
    <row r="77" spans="1:15" x14ac:dyDescent="0.3">
      <c r="A77" s="7">
        <v>46184</v>
      </c>
      <c r="C77">
        <v>115.10000000000477</v>
      </c>
      <c r="E77">
        <v>141.50900000000058</v>
      </c>
      <c r="F77">
        <v>120.95999999999762</v>
      </c>
      <c r="G77" s="9">
        <v>1.2095999999999762</v>
      </c>
      <c r="I77" s="9">
        <v>1.1630000000000167</v>
      </c>
      <c r="J77" s="9">
        <v>1.1789999999999983</v>
      </c>
      <c r="K77" s="9">
        <v>1.2854999999999455</v>
      </c>
      <c r="L77" s="9">
        <v>1.2495000000000385</v>
      </c>
      <c r="M77" s="9">
        <v>3.7954999999997909</v>
      </c>
      <c r="N77" s="9">
        <v>1.1755000000000833</v>
      </c>
      <c r="O77" s="9">
        <v>1.1880000000000044</v>
      </c>
    </row>
    <row r="78" spans="1:15" x14ac:dyDescent="0.3">
      <c r="A78" s="7">
        <v>46185</v>
      </c>
      <c r="C78">
        <v>115.30000000000229</v>
      </c>
      <c r="E78">
        <v>141.94999999999959</v>
      </c>
      <c r="F78">
        <v>121.34999999999832</v>
      </c>
      <c r="G78" s="9">
        <v>1.2134999999999831</v>
      </c>
      <c r="I78" s="9">
        <v>1.1690000000000722</v>
      </c>
      <c r="J78" s="9">
        <v>1.1820100000000295</v>
      </c>
      <c r="K78" s="9">
        <v>1.287450000000018</v>
      </c>
      <c r="L78" s="9">
        <v>1.2500000000000171</v>
      </c>
      <c r="M78" s="9">
        <v>3.8235000000002897</v>
      </c>
      <c r="N78" s="9">
        <v>1.1849999999999508</v>
      </c>
      <c r="O78" s="9">
        <v>1.1865000000000112</v>
      </c>
    </row>
    <row r="79" spans="1:15" x14ac:dyDescent="0.3">
      <c r="A79" s="7">
        <v>46189</v>
      </c>
      <c r="C79">
        <v>115.35000000000197</v>
      </c>
      <c r="E79">
        <v>141.76200000000665</v>
      </c>
      <c r="F79">
        <v>121.79999999999784</v>
      </c>
      <c r="G79" s="9">
        <v>1.2179999999999784</v>
      </c>
      <c r="I79" s="9">
        <v>1.1679999999999808</v>
      </c>
      <c r="J79" s="9">
        <v>1.1847999999999781</v>
      </c>
      <c r="K79" s="9">
        <v>1.2905000000000069</v>
      </c>
      <c r="L79" s="9">
        <v>1.2365000000000157</v>
      </c>
      <c r="M79" s="9">
        <v>3.8140000000000964</v>
      </c>
      <c r="N79" s="9">
        <v>1.1835000000000291</v>
      </c>
      <c r="O79" s="9">
        <v>1.1845000000000103</v>
      </c>
    </row>
    <row r="80" spans="1:15" x14ac:dyDescent="0.3">
      <c r="A80" s="7">
        <v>46190</v>
      </c>
      <c r="C80">
        <v>115.5000000000004</v>
      </c>
      <c r="E80">
        <v>141.75000000000176</v>
      </c>
      <c r="F80">
        <v>121.65599999999712</v>
      </c>
      <c r="G80" s="9">
        <v>1.2165599999999712</v>
      </c>
      <c r="I80" s="9">
        <v>1.1680000000000101</v>
      </c>
      <c r="J80" s="9">
        <v>1.1799999999999968</v>
      </c>
      <c r="K80" s="9">
        <v>1.2883999999999463</v>
      </c>
      <c r="L80" s="9">
        <v>1.2409999999999612</v>
      </c>
      <c r="M80" s="9">
        <v>3.8065000000000286</v>
      </c>
      <c r="N80" s="9">
        <v>1.1849999999999887</v>
      </c>
      <c r="O80" s="9">
        <v>1.1819999999999902</v>
      </c>
    </row>
    <row r="81" spans="1:15" x14ac:dyDescent="0.3">
      <c r="A81" s="7">
        <v>46191</v>
      </c>
      <c r="C81">
        <v>115.8499999999955</v>
      </c>
      <c r="E81">
        <v>141.9799999999982</v>
      </c>
      <c r="F81">
        <v>121.74999999999589</v>
      </c>
      <c r="G81" s="9">
        <v>1.2174999999999589</v>
      </c>
      <c r="I81" s="9">
        <v>1.1600000000000243</v>
      </c>
      <c r="J81" s="9">
        <v>1.1798899999999848</v>
      </c>
      <c r="K81" s="9">
        <v>1.2885000000000004</v>
      </c>
      <c r="L81" s="9">
        <v>1.2400000000000091</v>
      </c>
      <c r="M81" s="9">
        <v>3.8024999999995703</v>
      </c>
      <c r="N81" s="9">
        <v>1.1890000000000815</v>
      </c>
      <c r="O81" s="9">
        <v>1.183500000000018</v>
      </c>
    </row>
    <row r="82" spans="1:15" x14ac:dyDescent="0.3">
      <c r="A82" s="7">
        <v>46192</v>
      </c>
      <c r="C82">
        <v>115.99999999999871</v>
      </c>
      <c r="E82">
        <v>142.20000000000212</v>
      </c>
      <c r="F82">
        <v>122.0999999999971</v>
      </c>
      <c r="G82" s="9">
        <v>1.220999999999971</v>
      </c>
      <c r="I82" s="9">
        <v>1.1599999999999582</v>
      </c>
      <c r="J82" s="9">
        <v>1.1814999999999976</v>
      </c>
      <c r="K82" s="9">
        <v>1.2919999999999319</v>
      </c>
      <c r="L82" s="9">
        <v>1.2499999999999445</v>
      </c>
      <c r="M82" s="9">
        <v>3.8040000000000389</v>
      </c>
      <c r="N82" s="9">
        <v>1.1819999999999333</v>
      </c>
      <c r="O82" s="9">
        <v>1.1830099999999724</v>
      </c>
    </row>
    <row r="83" spans="1:15" x14ac:dyDescent="0.3">
      <c r="A83" s="7">
        <v>46195</v>
      </c>
      <c r="C83">
        <v>115.89999999999915</v>
      </c>
      <c r="E83">
        <v>141.9000000000014</v>
      </c>
      <c r="F83">
        <v>122.21000000000063</v>
      </c>
      <c r="G83" s="9">
        <v>1.2221000000000064</v>
      </c>
      <c r="I83" s="9">
        <v>1.1650000000000262</v>
      </c>
      <c r="J83" s="9">
        <v>1.1820000000000173</v>
      </c>
      <c r="K83" s="9">
        <v>1.2920000000000176</v>
      </c>
      <c r="L83" s="9">
        <v>1.2499999999999964</v>
      </c>
      <c r="M83" s="9">
        <v>3.8054999999997468</v>
      </c>
      <c r="N83" s="9">
        <v>1.1900000000000241</v>
      </c>
      <c r="O83" s="9">
        <v>1.1850000000000214</v>
      </c>
    </row>
    <row r="84" spans="1:15" x14ac:dyDescent="0.3">
      <c r="A84" s="7">
        <v>46196</v>
      </c>
      <c r="C84">
        <v>115.79999999999939</v>
      </c>
      <c r="E84">
        <v>141.51899999999259</v>
      </c>
      <c r="F84">
        <v>121.49999999999996</v>
      </c>
      <c r="G84" s="9">
        <v>1.2149999999999996</v>
      </c>
      <c r="I84" s="9">
        <v>1.1600000000000272</v>
      </c>
      <c r="J84" s="9">
        <v>1.1750000000000003</v>
      </c>
      <c r="K84" s="9">
        <v>1.286500000000089</v>
      </c>
      <c r="L84" s="9">
        <v>1.245200000000007</v>
      </c>
      <c r="M84" s="9">
        <v>3.7839999999999971</v>
      </c>
      <c r="N84" s="9">
        <v>1.1844999999999828</v>
      </c>
      <c r="O84" s="9">
        <v>1.1839999999999786</v>
      </c>
    </row>
    <row r="85" spans="1:15" x14ac:dyDescent="0.3">
      <c r="A85" s="7">
        <v>46197</v>
      </c>
      <c r="C85">
        <v>115.85000000000105</v>
      </c>
      <c r="E85">
        <v>141.34999999999647</v>
      </c>
      <c r="F85">
        <v>121.52400000000232</v>
      </c>
      <c r="G85" s="9">
        <v>1.2152400000000232</v>
      </c>
      <c r="I85" s="9">
        <v>1.157499999999964</v>
      </c>
      <c r="J85" s="9">
        <v>1.1784699999999635</v>
      </c>
      <c r="K85" s="9">
        <v>1.2860000000000162</v>
      </c>
      <c r="L85" s="9">
        <v>1.2446900000000436</v>
      </c>
      <c r="M85" s="9">
        <v>3.765999999999539</v>
      </c>
      <c r="N85" s="9">
        <v>1.1675000000000009</v>
      </c>
      <c r="O85" s="9">
        <v>1.1837999999999966</v>
      </c>
    </row>
    <row r="86" spans="1:15" x14ac:dyDescent="0.3">
      <c r="A86" s="7">
        <v>46198</v>
      </c>
      <c r="C86">
        <v>115.90000000000144</v>
      </c>
      <c r="E86">
        <v>141.19999999999828</v>
      </c>
      <c r="F86">
        <v>121.79000000000353</v>
      </c>
      <c r="G86" s="9">
        <v>1.2179000000000353</v>
      </c>
      <c r="I86" s="9">
        <v>1.1540000000000674</v>
      </c>
      <c r="J86" s="9">
        <v>1.1760000000000139</v>
      </c>
      <c r="K86" s="9">
        <v>1.2879999999999736</v>
      </c>
      <c r="L86" s="9">
        <v>1.2294999999999572</v>
      </c>
      <c r="M86" s="9">
        <v>3.7559999999994562</v>
      </c>
      <c r="N86" s="9">
        <v>1.1700000000000288</v>
      </c>
      <c r="O86" s="9">
        <v>1.1825000000000259</v>
      </c>
    </row>
    <row r="87" spans="1:15" x14ac:dyDescent="0.3">
      <c r="A87" s="7">
        <v>46199</v>
      </c>
      <c r="C87">
        <v>116.19999999999844</v>
      </c>
      <c r="E87">
        <v>141.60000000000085</v>
      </c>
      <c r="F87">
        <v>122.80000000000007</v>
      </c>
      <c r="G87" s="9">
        <v>1.2280000000000006</v>
      </c>
      <c r="I87" s="9">
        <v>1.1580000000000199</v>
      </c>
      <c r="J87" s="9">
        <v>1.1811000000000313</v>
      </c>
      <c r="K87" s="9">
        <v>1.2909999999999757</v>
      </c>
      <c r="L87" s="9">
        <v>1.2249999999999914</v>
      </c>
      <c r="M87" s="9">
        <v>3.7524999999993192</v>
      </c>
      <c r="N87" s="9">
        <v>1.1665000000000254</v>
      </c>
      <c r="O87" s="9">
        <v>1.1854999999999942</v>
      </c>
    </row>
    <row r="88" spans="1:15" x14ac:dyDescent="0.3">
      <c r="A88" s="7">
        <v>46202</v>
      </c>
      <c r="C88">
        <v>116.19999999999891</v>
      </c>
      <c r="E88">
        <v>142.25000000000114</v>
      </c>
      <c r="F88">
        <v>122.85000000000015</v>
      </c>
      <c r="G88" s="9">
        <v>1.2285000000000015</v>
      </c>
      <c r="I88" s="9">
        <v>1.1645000000000396</v>
      </c>
      <c r="J88" s="9">
        <v>1.1855500000000281</v>
      </c>
      <c r="K88" s="9">
        <v>1.2983899999999551</v>
      </c>
      <c r="L88" s="9">
        <v>1.2374999999999325</v>
      </c>
      <c r="M88" s="9">
        <v>3.7709999999994288</v>
      </c>
      <c r="N88" s="9">
        <v>1.1750000000000045</v>
      </c>
      <c r="O88" s="9">
        <v>1.1876999999999795</v>
      </c>
    </row>
    <row r="89" spans="1:15" x14ac:dyDescent="0.3">
      <c r="A89" s="7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  <c r="G89" s="9">
        <v>1.2305999999999921</v>
      </c>
      <c r="I89" s="9">
        <v>1.1629999999999696</v>
      </c>
      <c r="J89" s="9">
        <v>1.1890000000000192</v>
      </c>
      <c r="K89" s="9">
        <v>1.3018899999999989</v>
      </c>
      <c r="L89" s="9">
        <v>1.2564499999999315</v>
      </c>
      <c r="M89" s="9">
        <v>3.7769999999996382</v>
      </c>
      <c r="N89" s="9">
        <v>1.181500000000004</v>
      </c>
      <c r="O89" s="9">
        <v>1.1890000000000207</v>
      </c>
    </row>
    <row r="90" spans="1:15" x14ac:dyDescent="0.3">
      <c r="A90" s="7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  <c r="G90" s="9">
        <v>1.2369999999999912</v>
      </c>
      <c r="I90" s="9">
        <v>1.1630000000000142</v>
      </c>
      <c r="J90" s="9">
        <v>1.1880000000000264</v>
      </c>
      <c r="K90" s="9">
        <v>1.3029000000000499</v>
      </c>
      <c r="L90" s="9">
        <v>1.248000000000012</v>
      </c>
      <c r="M90" s="9">
        <v>3.7699999999995493</v>
      </c>
      <c r="N90" s="9">
        <v>1.1785000000000299</v>
      </c>
      <c r="O90" s="9">
        <v>1.1889999999999905</v>
      </c>
    </row>
    <row r="91" spans="1:15" x14ac:dyDescent="0.3">
      <c r="A91" s="7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  <c r="G91" s="9">
        <v>1.2344999999999722</v>
      </c>
      <c r="I91" s="9">
        <v>1.163000000000006</v>
      </c>
      <c r="J91" s="9">
        <v>1.1879999999999871</v>
      </c>
      <c r="K91" s="9">
        <v>1.305500000000015</v>
      </c>
      <c r="L91" s="9">
        <v>1.2519999999999423</v>
      </c>
      <c r="M91" s="9">
        <v>3.7789999999993489</v>
      </c>
      <c r="N91" s="9">
        <v>1.1875000000000007</v>
      </c>
      <c r="O91" s="9">
        <v>1.1906999999999592</v>
      </c>
    </row>
    <row r="92" spans="1:15" x14ac:dyDescent="0.3">
      <c r="A92" s="7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  <c r="G92" s="9">
        <v>1.23609999999994</v>
      </c>
      <c r="I92" s="9">
        <v>1.1649999999999661</v>
      </c>
      <c r="J92" s="9">
        <v>1.1904999999999952</v>
      </c>
      <c r="K92" s="9">
        <v>1.3100000000000049</v>
      </c>
      <c r="L92" s="9">
        <v>1.2560000000000466</v>
      </c>
      <c r="M92" s="9">
        <v>3.804500000000008</v>
      </c>
      <c r="N92" s="9">
        <v>1.1845000000000234</v>
      </c>
      <c r="O92" s="9">
        <v>1.1941200000000296</v>
      </c>
    </row>
    <row r="93" spans="1:15" x14ac:dyDescent="0.3">
      <c r="A93" s="7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  <c r="G93" s="9">
        <v>1.2399900000000124</v>
      </c>
      <c r="I93" s="9">
        <v>1.1614999999999771</v>
      </c>
      <c r="J93" s="9">
        <v>1.1909999999999537</v>
      </c>
      <c r="K93" s="9">
        <v>1.3119999999999485</v>
      </c>
      <c r="L93" s="9">
        <v>1.2590000000000168</v>
      </c>
      <c r="M93" s="9">
        <v>3.8280000000001455</v>
      </c>
      <c r="N93" s="9">
        <v>1.1884999999999668</v>
      </c>
      <c r="O93" s="9">
        <v>1.1967499999999733</v>
      </c>
    </row>
    <row r="94" spans="1:15" x14ac:dyDescent="0.3">
      <c r="A94" s="7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  <c r="G94" s="9">
        <v>1.2449999999999708</v>
      </c>
      <c r="I94" s="9">
        <v>1.1689999999999841</v>
      </c>
      <c r="J94" s="9">
        <v>1.1910999999999721</v>
      </c>
      <c r="K94" s="9">
        <v>1.313100000000033</v>
      </c>
      <c r="L94" s="9">
        <v>1.2650000000000547</v>
      </c>
      <c r="M94" s="9">
        <v>3.8329999999999433</v>
      </c>
      <c r="N94" s="9">
        <v>1.1879999999999882</v>
      </c>
      <c r="O94" s="9">
        <v>1.1960000000000157</v>
      </c>
    </row>
    <row r="95" spans="1:15" x14ac:dyDescent="0.3">
      <c r="A95" s="7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  <c r="G95" s="9">
        <v>1.2470100000000406</v>
      </c>
      <c r="I95" s="9">
        <v>1.1689999999999485</v>
      </c>
      <c r="J95" s="9">
        <v>1.1954800000000181</v>
      </c>
      <c r="K95" s="9">
        <v>1.3150000000000088</v>
      </c>
      <c r="L95" s="9">
        <v>1.267500000000092</v>
      </c>
      <c r="M95" s="9">
        <v>3.8399999999999888</v>
      </c>
      <c r="N95" s="9">
        <v>1.1800000000000175</v>
      </c>
      <c r="O95" s="9">
        <v>1.1994999999999825</v>
      </c>
    </row>
    <row r="96" spans="1:15" x14ac:dyDescent="0.3">
      <c r="A96" s="7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  <c r="G96" s="9">
        <v>1.2599999999999356</v>
      </c>
      <c r="I96" s="9">
        <v>1.1789999999999943</v>
      </c>
      <c r="J96" s="9">
        <v>1.1984999999999846</v>
      </c>
      <c r="K96" s="9">
        <v>1.315500000000043</v>
      </c>
      <c r="L96" s="9">
        <v>1.2749999999999952</v>
      </c>
      <c r="M96" s="9">
        <v>3.8379999999999854</v>
      </c>
      <c r="N96" s="9"/>
      <c r="O96" s="9">
        <v>1.2011199999999851</v>
      </c>
    </row>
    <row r="97" spans="1:15" x14ac:dyDescent="0.3">
      <c r="A97" s="7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  <c r="G97" s="9">
        <v>1.2450000000000505</v>
      </c>
      <c r="I97" s="9">
        <v>1.1680000000000168</v>
      </c>
      <c r="J97" s="9">
        <v>1.1938999999999635</v>
      </c>
      <c r="K97" s="9">
        <v>1.3159999999999892</v>
      </c>
      <c r="L97" s="9">
        <v>1.2680999999999947</v>
      </c>
      <c r="M97" s="9">
        <v>3.8379999999999446</v>
      </c>
      <c r="N97" s="9">
        <v>1.190000000000061</v>
      </c>
      <c r="O97" s="9">
        <v>1.1989999999999967</v>
      </c>
    </row>
    <row r="98" spans="1:15" x14ac:dyDescent="0.3">
      <c r="A98" s="7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  <c r="G98" s="9">
        <v>1.2443900000000487</v>
      </c>
      <c r="I98" s="9">
        <v>1.1679999999999691</v>
      </c>
      <c r="J98" s="9">
        <v>1.1926200000000151</v>
      </c>
      <c r="K98" s="9">
        <v>1.3155000000000272</v>
      </c>
      <c r="L98" s="9">
        <v>1.2689899999999412</v>
      </c>
      <c r="M98" s="9">
        <v>3.8444999999997322</v>
      </c>
      <c r="N98" s="9">
        <v>1.1894999999999463</v>
      </c>
      <c r="O98" s="9">
        <v>1.1994999999999936</v>
      </c>
    </row>
    <row r="99" spans="1:15" x14ac:dyDescent="0.3">
      <c r="A99" s="7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  <c r="G99" s="9">
        <v>1.2444999999999176</v>
      </c>
      <c r="I99" s="9">
        <v>1.172000000000011</v>
      </c>
      <c r="J99" s="9">
        <v>1.1969999999999694</v>
      </c>
      <c r="K99" s="9">
        <v>1.3170000000000386</v>
      </c>
      <c r="L99" s="9">
        <v>1.2750000000000268</v>
      </c>
      <c r="M99" s="9">
        <v>3.8474999999999659</v>
      </c>
      <c r="N99" s="9">
        <v>1.191000000000014</v>
      </c>
      <c r="O99" s="9">
        <v>1.1987100000000031</v>
      </c>
    </row>
    <row r="100" spans="1:15" x14ac:dyDescent="0.3">
      <c r="A100" s="7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  <c r="G100" s="9">
        <v>1.2431999999999903</v>
      </c>
      <c r="I100" s="9">
        <v>1.1679999999999908</v>
      </c>
      <c r="J100" s="9">
        <v>1.1926299999999901</v>
      </c>
      <c r="K100" s="9">
        <v>1.3149899999999441</v>
      </c>
      <c r="L100" s="9">
        <v>1.2700000000000005</v>
      </c>
      <c r="M100" s="9">
        <v>3.8449999999996027</v>
      </c>
      <c r="N100" s="9">
        <v>1.1904999999999628</v>
      </c>
      <c r="O100" s="9">
        <v>1.201399999999996</v>
      </c>
    </row>
    <row r="101" spans="1:15" x14ac:dyDescent="0.3">
      <c r="A101" s="7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  <c r="G101" s="9">
        <v>1.244500000000019</v>
      </c>
      <c r="I101" s="9">
        <v>1.1649999999999787</v>
      </c>
      <c r="J101" s="9">
        <v>1.196399999999985</v>
      </c>
      <c r="K101" s="9">
        <v>1.3171999999999926</v>
      </c>
      <c r="L101" s="9">
        <v>1.2618999999999929</v>
      </c>
      <c r="M101" s="9">
        <v>3.8449999999998776</v>
      </c>
      <c r="N101" s="9">
        <v>1.1945000000000174</v>
      </c>
      <c r="O101" s="9">
        <v>1.2036000000000011</v>
      </c>
    </row>
    <row r="102" spans="1:15" x14ac:dyDescent="0.3">
      <c r="A102" s="7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  <c r="G102" s="9">
        <v>1.243700000000004</v>
      </c>
      <c r="I102" s="9">
        <v>1.1709999999999652</v>
      </c>
      <c r="J102" s="9">
        <v>1.1967900000000185</v>
      </c>
      <c r="K102" s="9">
        <v>1.3159999999999488</v>
      </c>
      <c r="L102" s="9">
        <v>1.25999999999999</v>
      </c>
      <c r="M102" s="9">
        <v>3.8524999999998011</v>
      </c>
      <c r="N102" s="9">
        <v>1.1905000000000097</v>
      </c>
      <c r="O102" s="9">
        <v>1.2069999999999925</v>
      </c>
    </row>
    <row r="103" spans="1:15" x14ac:dyDescent="0.3">
      <c r="A103" s="7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  <c r="G103" s="9">
        <v>1.2428999999999923</v>
      </c>
      <c r="I103" s="9">
        <v>1.1780000000000272</v>
      </c>
      <c r="J103" s="9">
        <v>1.1964299999999783</v>
      </c>
      <c r="K103" s="9">
        <v>1.3161999999999969</v>
      </c>
      <c r="L103" s="9">
        <v>1.2587999999999977</v>
      </c>
      <c r="M103" s="9">
        <v>3.8520000000000461</v>
      </c>
      <c r="N103" s="9">
        <v>1.1940000000000539</v>
      </c>
      <c r="O103" s="9">
        <v>1.2069999999999925</v>
      </c>
    </row>
    <row r="104" spans="1:15" x14ac:dyDescent="0.3">
      <c r="A104" s="7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  <c r="G104" s="9">
        <v>1.2409899999999829</v>
      </c>
      <c r="I104" s="9">
        <v>1.1789999999999383</v>
      </c>
      <c r="J104" s="9">
        <v>1.1965000000000026</v>
      </c>
      <c r="K104" s="9">
        <v>1.3149800000000322</v>
      </c>
      <c r="L104" s="9">
        <v>1.2564999999999862</v>
      </c>
      <c r="M104" s="9">
        <v>3.864499999999929</v>
      </c>
      <c r="N104" s="9">
        <v>1.1959999999999964</v>
      </c>
      <c r="O104" s="9">
        <v>1.207999999999998</v>
      </c>
    </row>
    <row r="105" spans="1:15" x14ac:dyDescent="0.3">
      <c r="A105" s="7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  <c r="G105" s="9">
        <v>1.2390000000000185</v>
      </c>
      <c r="I105" s="9">
        <v>1.1830000000000149</v>
      </c>
      <c r="J105" s="9">
        <v>1.1964999999999753</v>
      </c>
      <c r="K105" s="9">
        <v>1.3127999999999656</v>
      </c>
      <c r="L105" s="9">
        <v>1.2534999999999517</v>
      </c>
      <c r="M105" s="9">
        <v>3.8660000000001036</v>
      </c>
      <c r="N105" s="9">
        <v>1.1969999999999317</v>
      </c>
      <c r="O105" s="9">
        <v>1.2095000000000156</v>
      </c>
    </row>
    <row r="106" spans="1:15" x14ac:dyDescent="0.3">
      <c r="A106" s="7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  <c r="G106" s="9">
        <v>1.2385000000000006</v>
      </c>
      <c r="I106" s="9">
        <v>1.1840000000000204</v>
      </c>
      <c r="J106" s="9">
        <v>1.1989999999999943</v>
      </c>
      <c r="K106" s="9">
        <v>1.3145000000000133</v>
      </c>
      <c r="L106" s="9">
        <v>1.2569999999999748</v>
      </c>
      <c r="M106" s="9">
        <v>3.8744999999995748</v>
      </c>
      <c r="N106" s="9">
        <v>1.198000000000031</v>
      </c>
      <c r="O106" s="9">
        <v>1.2115999999999791</v>
      </c>
    </row>
    <row r="107" spans="1:15" x14ac:dyDescent="0.3">
      <c r="A107" s="7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  <c r="G107" s="9">
        <v>1.2404999999999802</v>
      </c>
      <c r="I107" s="9">
        <v>1.1849999999999445</v>
      </c>
      <c r="J107" s="9">
        <v>1.1993099999999854</v>
      </c>
      <c r="K107" s="9">
        <v>1.3142499999999253</v>
      </c>
      <c r="L107" s="9">
        <v>1.2560000000000233</v>
      </c>
      <c r="M107" s="9">
        <v>3.8799999999998103</v>
      </c>
      <c r="N107" s="9">
        <v>1.2000000000000353</v>
      </c>
      <c r="O107" s="9">
        <v>1.2118000000000122</v>
      </c>
    </row>
    <row r="108" spans="1:15" x14ac:dyDescent="0.3">
      <c r="A108" s="7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  <c r="G108" s="9">
        <v>1.2394999999999738</v>
      </c>
      <c r="I108" s="9">
        <v>1.1809999999999881</v>
      </c>
      <c r="J108" s="9">
        <v>1.1983500000000022</v>
      </c>
      <c r="K108" s="9">
        <v>1.3119999999999927</v>
      </c>
      <c r="L108" s="9">
        <v>1.2559999999999478</v>
      </c>
      <c r="M108" s="9">
        <v>3.8784999999999799</v>
      </c>
      <c r="N108" s="9">
        <v>1.2000000000000659</v>
      </c>
      <c r="O108" s="9">
        <v>1.2124700000000102</v>
      </c>
    </row>
    <row r="109" spans="1:15" x14ac:dyDescent="0.3">
      <c r="A109" s="7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  <c r="G109" s="9">
        <v>1.2384999999999706</v>
      </c>
      <c r="I109" s="9">
        <v>1.1819999999999511</v>
      </c>
      <c r="J109" s="9">
        <v>1.1989999999999854</v>
      </c>
      <c r="K109" s="9">
        <v>1.3147000000000142</v>
      </c>
      <c r="L109" s="9">
        <v>1.2569999999999324</v>
      </c>
      <c r="M109" s="9">
        <v>3.8809999999997609</v>
      </c>
      <c r="N109" s="9">
        <v>1.2095000000000846</v>
      </c>
      <c r="O109" s="9">
        <v>1.2124999999999957</v>
      </c>
    </row>
    <row r="110" spans="1:15" x14ac:dyDescent="0.3">
      <c r="A110" s="7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  <c r="G110" s="9">
        <v>1.2369999999999721</v>
      </c>
      <c r="I110" s="9">
        <v>1.1764999999999075</v>
      </c>
      <c r="J110" s="9">
        <v>1.1975000000000104</v>
      </c>
      <c r="K110" s="9">
        <v>1.3110000000000068</v>
      </c>
      <c r="L110" s="9">
        <v>1.2524999999999391</v>
      </c>
      <c r="M110" s="9">
        <v>3.8739999999998651</v>
      </c>
      <c r="N110" s="9">
        <v>1.2054999999999476</v>
      </c>
      <c r="O110" s="9">
        <v>1.2112000000000094</v>
      </c>
    </row>
    <row r="111" spans="1:15" x14ac:dyDescent="0.3">
      <c r="A111" s="7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  <c r="G111" s="9">
        <v>1.2358999999999905</v>
      </c>
      <c r="I111" s="9">
        <v>1.170999999999824</v>
      </c>
      <c r="J111" s="9">
        <v>1.1989000000000085</v>
      </c>
      <c r="K111" s="9">
        <v>1.310999999999944</v>
      </c>
      <c r="L111" s="9">
        <v>1.2544000000000031</v>
      </c>
      <c r="M111" s="9">
        <v>3.8749999999999254</v>
      </c>
      <c r="N111" s="9">
        <v>1.2099999999999793</v>
      </c>
      <c r="O111" s="9">
        <v>1.2140000000000157</v>
      </c>
    </row>
    <row r="112" spans="1:15" x14ac:dyDescent="0.3">
      <c r="A112" s="7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  <c r="G112" s="9">
        <v>1.2390000000000416</v>
      </c>
      <c r="I112" s="9">
        <v>1.1749999999998584</v>
      </c>
      <c r="J112" s="9">
        <v>1.2013999999999874</v>
      </c>
      <c r="K112" s="9">
        <v>1.3137999999999928</v>
      </c>
      <c r="L112" s="9">
        <v>1.2557999999999565</v>
      </c>
      <c r="M112" s="9">
        <v>3.8799999999998884</v>
      </c>
      <c r="N112" s="9">
        <v>1.2039999999999846</v>
      </c>
      <c r="O112" s="9">
        <v>1.2136999999999893</v>
      </c>
    </row>
    <row r="113" spans="1:15" x14ac:dyDescent="0.3">
      <c r="A113" s="7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  <c r="G113" s="9">
        <v>1.2374899999999942</v>
      </c>
      <c r="I113" s="9">
        <v>1.1769999999999075</v>
      </c>
      <c r="J113" s="9">
        <v>1.2015000000000005</v>
      </c>
      <c r="K113" s="9">
        <v>1.3129999999999333</v>
      </c>
      <c r="L113" s="9">
        <v>1.2559999999999634</v>
      </c>
      <c r="M113" s="9">
        <v>3.8850000000000544</v>
      </c>
      <c r="N113" s="9">
        <v>1.1970000000000127</v>
      </c>
      <c r="O113" s="9">
        <v>1.2145100000000122</v>
      </c>
    </row>
    <row r="114" spans="1:15" x14ac:dyDescent="0.3">
      <c r="A114" s="7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  <c r="G114" s="9">
        <v>1.2379999999999547</v>
      </c>
      <c r="I114" s="9">
        <v>1.1769999999999197</v>
      </c>
      <c r="J114" s="9">
        <v>1.200999999999989</v>
      </c>
      <c r="K114" s="9">
        <v>1.3117599999999756</v>
      </c>
      <c r="L114" s="9">
        <v>1.2550000000000188</v>
      </c>
      <c r="M114" s="9">
        <v>3.8789999999998797</v>
      </c>
      <c r="N114" s="9">
        <v>1.1964999999999746</v>
      </c>
      <c r="O114" s="9">
        <v>1.2140000000000015</v>
      </c>
    </row>
    <row r="115" spans="1:15" x14ac:dyDescent="0.3">
      <c r="A115" s="7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  <c r="G115" s="9">
        <v>1.2324900000000398</v>
      </c>
      <c r="I115" s="9">
        <v>1.1769999999998868</v>
      </c>
      <c r="J115" s="9">
        <v>1.2005000000000094</v>
      </c>
      <c r="K115" s="9">
        <v>1.309999999999965</v>
      </c>
      <c r="L115" s="9">
        <v>1.2505000000000397</v>
      </c>
      <c r="M115" s="9">
        <v>3.879999999999789</v>
      </c>
      <c r="N115" s="9">
        <v>1.1869999999999015</v>
      </c>
      <c r="O115" s="9">
        <v>1.2149999999999879</v>
      </c>
    </row>
    <row r="116" spans="1:15" x14ac:dyDescent="0.3">
      <c r="A116" s="7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  <c r="G116" s="9">
        <v>1.2319999999999898</v>
      </c>
      <c r="I116" s="9">
        <v>1.1804999999999233</v>
      </c>
      <c r="J116" s="9">
        <v>1.2027000000000181</v>
      </c>
      <c r="K116" s="9">
        <v>1.3089000000000388</v>
      </c>
      <c r="L116" s="9">
        <v>1.2559999999999547</v>
      </c>
      <c r="M116" s="9">
        <v>3.8849999999997529</v>
      </c>
      <c r="N116" s="9">
        <v>1.1994999999999145</v>
      </c>
      <c r="O116" s="9">
        <v>1.2187500000000131</v>
      </c>
    </row>
    <row r="117" spans="1:15" x14ac:dyDescent="0.3">
      <c r="A117" s="7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  <c r="G117" s="9">
        <v>1.2344999999999322</v>
      </c>
      <c r="I117" s="9">
        <v>1.1809999999998999</v>
      </c>
      <c r="J117" s="9">
        <v>1.2029999999999919</v>
      </c>
      <c r="K117" s="9">
        <v>1.3120000000000263</v>
      </c>
      <c r="L117" s="9">
        <v>1.2570000000000301</v>
      </c>
      <c r="M117" s="9">
        <v>3.8834999999997488</v>
      </c>
      <c r="N117" s="9">
        <v>1.2089999999999939</v>
      </c>
      <c r="O117" s="9">
        <v>1.220499999999981</v>
      </c>
    </row>
    <row r="118" spans="1:15" x14ac:dyDescent="0.3">
      <c r="A118" s="7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  <c r="G118" s="9">
        <v>1.2324999999999895</v>
      </c>
      <c r="I118" s="9">
        <v>1.1849999999999605</v>
      </c>
      <c r="J118" s="9">
        <v>1.2037499999999945</v>
      </c>
      <c r="K118" s="9">
        <v>1.3099999999999681</v>
      </c>
      <c r="L118" s="9">
        <v>1.2529999999999064</v>
      </c>
      <c r="M118" s="9">
        <v>3.8839999999998138</v>
      </c>
      <c r="N118" s="9">
        <v>1.2054999999999807</v>
      </c>
      <c r="O118" s="9">
        <v>1.2209999999999785</v>
      </c>
    </row>
    <row r="119" spans="1:15" x14ac:dyDescent="0.3">
      <c r="A119" s="7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  <c r="G119" s="9">
        <v>1.2329999999999901</v>
      </c>
      <c r="I119" s="9">
        <v>1.1849999999999625</v>
      </c>
      <c r="J119" s="9">
        <v>1.2055100000000101</v>
      </c>
      <c r="K119" s="9">
        <v>1.3114999999999635</v>
      </c>
      <c r="L119" s="9">
        <v>1.252999999999947</v>
      </c>
      <c r="M119" s="9">
        <v>3.8849999999997475</v>
      </c>
      <c r="N119" s="9">
        <v>1.2059999999999635</v>
      </c>
      <c r="O119" s="9">
        <v>1.2225000000000017</v>
      </c>
    </row>
    <row r="120" spans="1:15" x14ac:dyDescent="0.3">
      <c r="A120" s="7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  <c r="G120" s="9">
        <v>1.2360000000000073</v>
      </c>
      <c r="I120" s="9">
        <v>1.1879999999999267</v>
      </c>
      <c r="J120" s="9">
        <v>1.2072999999999883</v>
      </c>
      <c r="K120" s="9">
        <v>1.3113000000000332</v>
      </c>
      <c r="L120" s="9">
        <v>1.2585000000000228</v>
      </c>
      <c r="M120" s="9">
        <v>3.8779999999994397</v>
      </c>
      <c r="N120" s="9">
        <v>1.2110000000000176</v>
      </c>
      <c r="O120" s="9">
        <v>1.2244000000000141</v>
      </c>
    </row>
    <row r="121" spans="1:15" x14ac:dyDescent="0.3">
      <c r="A121" s="7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  <c r="G121" s="9">
        <v>1.2387999999999832</v>
      </c>
      <c r="H121" s="9">
        <v>0.98250000000002002</v>
      </c>
      <c r="I121" s="9">
        <v>1.1879999999999393</v>
      </c>
      <c r="J121" s="9">
        <v>1.2104500000000098</v>
      </c>
      <c r="K121" s="9">
        <v>1.3145100000000083</v>
      </c>
      <c r="L121" s="9">
        <v>1.2583999999999431</v>
      </c>
      <c r="M121" s="9">
        <v>3.8889999999998377</v>
      </c>
      <c r="N121" s="9">
        <v>1.2075000000000005</v>
      </c>
      <c r="O121" s="9">
        <v>1.2269999999999932</v>
      </c>
    </row>
    <row r="122" spans="1:15" x14ac:dyDescent="0.3">
      <c r="A122" s="7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  <c r="G122" s="9">
        <v>1.2250999999999712</v>
      </c>
      <c r="H122" s="9">
        <v>0.97850000000000381</v>
      </c>
      <c r="I122" s="9">
        <v>1.1754999999996658</v>
      </c>
      <c r="J122" s="9">
        <v>1.2035999999999898</v>
      </c>
      <c r="K122" s="9">
        <v>1.3024999999999687</v>
      </c>
      <c r="L122" s="9">
        <v>1.2544999999999822</v>
      </c>
      <c r="M122" s="9">
        <v>3.8499999999975199</v>
      </c>
      <c r="N122" s="9">
        <v>1.2069999999999776</v>
      </c>
      <c r="O122" s="9">
        <v>1.2239999999999871</v>
      </c>
    </row>
    <row r="123" spans="1:15" x14ac:dyDescent="0.3">
      <c r="A123" s="7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  <c r="G123" s="9">
        <v>1.2249999999999768</v>
      </c>
      <c r="H123" s="9">
        <v>0.97399999999999043</v>
      </c>
      <c r="I123" s="9">
        <v>1.1799999999998325</v>
      </c>
      <c r="J123" s="9">
        <v>1.2025000000000057</v>
      </c>
      <c r="K123" s="9">
        <v>1.2967000000000104</v>
      </c>
      <c r="L123" s="9">
        <v>1.2520000000000104</v>
      </c>
      <c r="M123" s="9">
        <v>3.8404999999960356</v>
      </c>
      <c r="N123" s="9">
        <v>1.1999999999999487</v>
      </c>
      <c r="O123" s="9">
        <v>1.2200000000000066</v>
      </c>
    </row>
    <row r="124" spans="1:15" x14ac:dyDescent="0.3">
      <c r="A124" s="7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  <c r="G124" s="9">
        <v>1.2409999999999457</v>
      </c>
      <c r="H124" s="9">
        <v>0.98149999999999382</v>
      </c>
      <c r="I124" s="9">
        <v>1.1839999999999185</v>
      </c>
      <c r="J124" s="9">
        <v>1.2097999999999922</v>
      </c>
      <c r="K124" s="9">
        <v>1.3154000000000408</v>
      </c>
      <c r="L124" s="9">
        <v>1.2580000000000051</v>
      </c>
      <c r="M124" s="9">
        <v>3.8509999999971267</v>
      </c>
      <c r="N124" s="9">
        <v>1.2049999999999526</v>
      </c>
      <c r="O124" s="9">
        <v>1.2234999999999907</v>
      </c>
    </row>
    <row r="125" spans="1:15" x14ac:dyDescent="0.3">
      <c r="A125" s="7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  <c r="G125" s="9">
        <v>1.2434999999999814</v>
      </c>
      <c r="H125" s="9">
        <v>0.98299999999999865</v>
      </c>
      <c r="I125" s="9">
        <v>1.1900000000000273</v>
      </c>
      <c r="J125" s="9">
        <v>1.21434999999999</v>
      </c>
      <c r="K125" s="9">
        <v>1.3193999999999864</v>
      </c>
      <c r="L125" s="9">
        <v>1.2599999999999409</v>
      </c>
      <c r="M125" s="9">
        <v>3.8624999999979792</v>
      </c>
      <c r="N125" s="9">
        <v>1.2094999999999694</v>
      </c>
      <c r="O125" s="9">
        <v>1.2264999999999853</v>
      </c>
    </row>
    <row r="126" spans="1:15" x14ac:dyDescent="0.3">
      <c r="A126" s="7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  <c r="G126" s="9">
        <v>1.2462999999999937</v>
      </c>
      <c r="H126" s="9">
        <v>0.98449999999997362</v>
      </c>
      <c r="I126" s="9">
        <v>1.1899999999999828</v>
      </c>
      <c r="J126" s="9">
        <v>1.2152000000000056</v>
      </c>
      <c r="K126" s="9">
        <v>1.3234000000000601</v>
      </c>
      <c r="L126" s="9">
        <v>1.259999999999976</v>
      </c>
      <c r="M126" s="9">
        <v>3.8749999999983853</v>
      </c>
      <c r="N126" s="9">
        <v>1.2109999999999512</v>
      </c>
      <c r="O126" s="9">
        <v>1.2280000000000046</v>
      </c>
    </row>
    <row r="127" spans="1:15" x14ac:dyDescent="0.3">
      <c r="A127" s="7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  <c r="G127" s="9">
        <v>1.2454999999999867</v>
      </c>
      <c r="H127" s="9">
        <v>0.98380000000002654</v>
      </c>
      <c r="I127" s="9">
        <v>1.1964999999999462</v>
      </c>
      <c r="J127" s="9">
        <v>1.2143999999999908</v>
      </c>
      <c r="K127" s="9">
        <v>1.3219000000000027</v>
      </c>
      <c r="L127" s="9">
        <v>1.2533999999999761</v>
      </c>
      <c r="M127" s="9">
        <v>3.8814999999987094</v>
      </c>
      <c r="N127" s="9">
        <v>1.2174999999999614</v>
      </c>
      <c r="O127" s="9">
        <v>1.2279999999999969</v>
      </c>
    </row>
    <row r="128" spans="1:15" x14ac:dyDescent="0.3">
      <c r="A128" s="7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  <c r="G128" s="9">
        <v>1.2415000000000636</v>
      </c>
      <c r="H128" s="9">
        <v>0.98299999999999654</v>
      </c>
      <c r="I128" s="9">
        <v>1.1809999999997101</v>
      </c>
      <c r="J128" s="9">
        <v>1.21475000000001</v>
      </c>
      <c r="K128" s="9">
        <v>1.3194500000000289</v>
      </c>
      <c r="L128" s="9">
        <v>1.2534500000000188</v>
      </c>
      <c r="M128" s="9">
        <v>3.8804999999984653</v>
      </c>
      <c r="N128" s="9">
        <v>1.2145000000000008</v>
      </c>
      <c r="O128" s="9">
        <v>1.2275000000000063</v>
      </c>
    </row>
    <row r="129" spans="1:15" x14ac:dyDescent="0.3">
      <c r="A129" s="7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  <c r="G129" s="9">
        <v>1.2399000000000111</v>
      </c>
      <c r="H129" s="9">
        <v>0.98299999999998022</v>
      </c>
      <c r="I129" s="9">
        <v>1.1819999999997413</v>
      </c>
      <c r="J129" s="9">
        <v>1.2157000000000182</v>
      </c>
      <c r="K129" s="9">
        <v>1.3192999999999682</v>
      </c>
      <c r="L129" s="9">
        <v>1.254199999999956</v>
      </c>
      <c r="M129" s="9">
        <v>3.8879999999988515</v>
      </c>
      <c r="N129" s="9">
        <v>1.2189999999999714</v>
      </c>
      <c r="O129" s="9">
        <v>1.2311999999999819</v>
      </c>
    </row>
    <row r="130" spans="1:15" x14ac:dyDescent="0.3">
      <c r="A130" s="7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  <c r="G130" s="9">
        <v>1.2445000000000319</v>
      </c>
      <c r="H130" s="9">
        <v>0.98550000000001736</v>
      </c>
      <c r="I130" s="9">
        <v>1.1899999999998689</v>
      </c>
      <c r="J130" s="9">
        <v>1.2187999999995287</v>
      </c>
      <c r="K130" s="9">
        <v>1.3258999999999705</v>
      </c>
      <c r="L130" s="9">
        <v>1.2609999999999904</v>
      </c>
      <c r="M130" s="9">
        <v>3.8949999999989857</v>
      </c>
      <c r="N130" s="9">
        <v>1.2165000000000041</v>
      </c>
      <c r="O130" s="9">
        <v>1.2334999999999865</v>
      </c>
    </row>
    <row r="131" spans="1:15" x14ac:dyDescent="0.3">
      <c r="A131" s="4">
        <v>46265</v>
      </c>
      <c r="B131" s="9"/>
      <c r="C131">
        <v>121.15</v>
      </c>
      <c r="D131">
        <v>106.84999999999238</v>
      </c>
      <c r="E131">
        <v>146.94000000000119</v>
      </c>
      <c r="F131">
        <v>124.85000000000053</v>
      </c>
      <c r="G131" s="9">
        <v>1.2485000000000053</v>
      </c>
      <c r="H131" s="9">
        <v>0.9874999999999805</v>
      </c>
      <c r="I131" s="9">
        <v>1.2035000000000065</v>
      </c>
      <c r="J131" s="9">
        <v>1.2211999999996819</v>
      </c>
      <c r="K131" s="9">
        <v>1.3277000000000525</v>
      </c>
      <c r="L131" s="9">
        <v>1.2639999999999953</v>
      </c>
      <c r="M131" s="9">
        <v>3.8964999999983876</v>
      </c>
      <c r="N131" s="9">
        <v>1.2210000000000008</v>
      </c>
      <c r="O131" s="9">
        <v>1.2349999999999923</v>
      </c>
    </row>
    <row r="132" spans="1:15" x14ac:dyDescent="0.3">
      <c r="A132" s="4">
        <v>46266</v>
      </c>
      <c r="B132" s="11">
        <v>1.00906037</v>
      </c>
      <c r="C132" s="12">
        <v>1.2130007899999999</v>
      </c>
      <c r="D132" s="11">
        <v>1.06900032</v>
      </c>
      <c r="E132" s="11">
        <v>1.47186796</v>
      </c>
      <c r="F132" s="11">
        <v>1.2513122999999999</v>
      </c>
      <c r="G132" s="11">
        <v>1.2513122999999999</v>
      </c>
      <c r="H132" s="12">
        <v>0.98939814999999998</v>
      </c>
      <c r="I132" s="11">
        <v>121.6499999999932</v>
      </c>
      <c r="J132" s="11">
        <v>1.2227816600000001</v>
      </c>
      <c r="K132" s="11">
        <v>1.3298810999999999</v>
      </c>
      <c r="L132" s="11">
        <v>1.2646346799999999</v>
      </c>
      <c r="M132" s="11">
        <v>3.9192279999999999</v>
      </c>
      <c r="N132" s="11">
        <v>1.2169272499999999</v>
      </c>
      <c r="O132" s="11">
        <v>1.2377929000000001</v>
      </c>
    </row>
    <row r="133" spans="1:15" x14ac:dyDescent="0.3">
      <c r="A133" s="4">
        <v>46267</v>
      </c>
      <c r="B133" s="11">
        <v>1.0100603500000001</v>
      </c>
      <c r="C133" s="12">
        <v>1.2147051099999999</v>
      </c>
      <c r="D133" s="11">
        <v>1.0690074300000001</v>
      </c>
      <c r="E133" s="11">
        <v>1.47201179</v>
      </c>
      <c r="F133" s="11">
        <v>1.2529571399999999</v>
      </c>
      <c r="G133" s="11">
        <v>1.2529571399999999</v>
      </c>
      <c r="H133" s="12">
        <v>0.99174496000000001</v>
      </c>
      <c r="I133" s="12">
        <v>1.2075260000000001</v>
      </c>
      <c r="J133" s="11">
        <v>1.2238402399999999</v>
      </c>
      <c r="K133" s="11">
        <v>1.33226589</v>
      </c>
      <c r="L133" s="11">
        <v>1.26554419</v>
      </c>
      <c r="M133" s="11">
        <v>3.9397009000000001</v>
      </c>
      <c r="N133" s="11">
        <v>1.2199578900000001</v>
      </c>
      <c r="O133" s="11">
        <v>1.2384295299999999</v>
      </c>
    </row>
    <row r="134" spans="1:15" x14ac:dyDescent="0.3">
      <c r="A134" s="4">
        <v>46268</v>
      </c>
      <c r="B134" s="11">
        <v>1.01084299</v>
      </c>
      <c r="C134" s="12">
        <v>1.2157256599999999</v>
      </c>
      <c r="D134" s="11">
        <v>1.0687348400000001</v>
      </c>
      <c r="E134" s="11">
        <v>1.47362075</v>
      </c>
      <c r="F134" s="11">
        <v>1.25421118</v>
      </c>
      <c r="G134" s="11">
        <v>1.25421118</v>
      </c>
      <c r="H134" s="12">
        <v>0.99424604999999999</v>
      </c>
      <c r="I134" s="12">
        <v>1.20153475</v>
      </c>
      <c r="J134" s="11">
        <v>1.2249302799999999</v>
      </c>
      <c r="K134" s="11">
        <v>1.3337051600000001</v>
      </c>
      <c r="L134" s="11">
        <v>1.2674897700000001</v>
      </c>
      <c r="M134" s="11">
        <v>3.95347932</v>
      </c>
      <c r="N134" s="11">
        <v>1.22347926</v>
      </c>
      <c r="O134" s="11">
        <v>1.2404261400000001</v>
      </c>
    </row>
    <row r="135" spans="1:15" x14ac:dyDescent="0.3">
      <c r="A135" s="4">
        <v>46269</v>
      </c>
      <c r="B135" s="11">
        <v>1.0127881299999999</v>
      </c>
      <c r="C135" s="12">
        <v>1.2178138199999999</v>
      </c>
      <c r="D135" s="11">
        <v>1.0742336400000001</v>
      </c>
      <c r="E135" s="11">
        <v>1.4765107900000001</v>
      </c>
      <c r="F135" s="11">
        <v>1.2585695299999999</v>
      </c>
      <c r="G135" s="11">
        <v>1.2585695299999999</v>
      </c>
      <c r="H135" s="12">
        <v>0.99898215999999995</v>
      </c>
      <c r="I135" s="12">
        <v>1.2075780599999999</v>
      </c>
      <c r="J135" s="11">
        <v>1.2272383499999999</v>
      </c>
      <c r="K135" s="11">
        <v>1.33790498</v>
      </c>
      <c r="L135" s="11">
        <v>1.2687158999999999</v>
      </c>
      <c r="M135" s="11">
        <v>3.9560157</v>
      </c>
      <c r="N135" s="11">
        <v>1.229144</v>
      </c>
      <c r="O135" s="11">
        <v>1.24342201</v>
      </c>
    </row>
    <row r="136" spans="1:15" x14ac:dyDescent="0.3">
      <c r="A136" s="4">
        <v>46272</v>
      </c>
      <c r="B136" s="11">
        <v>1.0133567299999999</v>
      </c>
      <c r="C136" s="12">
        <v>1.2177763699999999</v>
      </c>
      <c r="D136" s="11">
        <v>1.0713623999999999</v>
      </c>
      <c r="E136" s="11">
        <v>1.46987329</v>
      </c>
      <c r="F136" s="11">
        <v>1.2595068899999999</v>
      </c>
      <c r="G136" s="11">
        <v>1.2595068899999999</v>
      </c>
      <c r="H136" s="12">
        <v>0.99773075</v>
      </c>
      <c r="I136" s="12">
        <v>1.2105391999999999</v>
      </c>
      <c r="J136" s="11">
        <v>1.2289346999999999</v>
      </c>
      <c r="K136" s="11">
        <v>1.33824331</v>
      </c>
      <c r="L136" s="11">
        <v>1.26933221</v>
      </c>
      <c r="M136" s="11">
        <v>3.9592439100000001</v>
      </c>
      <c r="N136" s="11">
        <v>1.2303535999999999</v>
      </c>
      <c r="O136" s="11">
        <v>1.2448657999999999</v>
      </c>
    </row>
    <row r="137" spans="1:15" x14ac:dyDescent="0.3">
      <c r="A137" s="4">
        <v>46273</v>
      </c>
      <c r="B137" s="11">
        <v>1.01323655</v>
      </c>
      <c r="C137" s="12">
        <v>1.2177810499999999</v>
      </c>
      <c r="D137" s="11">
        <v>1.0716682</v>
      </c>
      <c r="E137" s="11">
        <v>1.4748975499999999</v>
      </c>
      <c r="F137" s="11">
        <v>1.2577613400000001</v>
      </c>
      <c r="G137" s="11">
        <v>1.2577613400000001</v>
      </c>
      <c r="H137" s="12">
        <v>0.99844274</v>
      </c>
      <c r="I137" s="12">
        <v>1.2125095699999999</v>
      </c>
      <c r="J137" s="11">
        <v>1.22905825</v>
      </c>
      <c r="K137" s="11">
        <v>1.3382574899999999</v>
      </c>
      <c r="L137" s="11">
        <v>1.27103747</v>
      </c>
      <c r="M137" s="11">
        <v>3.9737443400000001</v>
      </c>
      <c r="N137" s="11">
        <v>1.23</v>
      </c>
      <c r="O137" s="11">
        <v>1.2462282225646</v>
      </c>
    </row>
    <row r="138" spans="1:15" x14ac:dyDescent="0.3">
      <c r="A138" s="4">
        <v>46274</v>
      </c>
      <c r="B138" s="11">
        <v>1.0115057599999999</v>
      </c>
      <c r="C138" s="12">
        <v>1.21875841</v>
      </c>
      <c r="D138" s="11">
        <v>1.0749949999999999</v>
      </c>
      <c r="E138" s="11">
        <v>1.4749056899999999</v>
      </c>
      <c r="F138" s="11">
        <v>1.25681132</v>
      </c>
      <c r="G138" s="11">
        <v>1.25681132</v>
      </c>
      <c r="H138" s="12">
        <v>0.99758399999999992</v>
      </c>
      <c r="I138" s="12">
        <v>1.2110000000000001</v>
      </c>
      <c r="J138" s="11">
        <v>1.2284157899999999</v>
      </c>
      <c r="K138" s="11">
        <v>1.3364771</v>
      </c>
      <c r="L138" s="11">
        <v>1.2679330499999999</v>
      </c>
      <c r="M138" s="11">
        <v>3.9671134600000002</v>
      </c>
      <c r="N138" s="11">
        <v>1.2315876800000001</v>
      </c>
      <c r="O138" s="11">
        <v>1.2453557799999999</v>
      </c>
    </row>
    <row r="139" spans="1:15" x14ac:dyDescent="0.3">
      <c r="A139" s="4">
        <v>46275</v>
      </c>
      <c r="B139" s="11">
        <v>1.0156021799999999</v>
      </c>
      <c r="C139" s="12">
        <v>1.2171409900000001</v>
      </c>
      <c r="D139" s="11">
        <v>1.07449996</v>
      </c>
      <c r="E139" s="11">
        <v>1.47846571</v>
      </c>
      <c r="F139" s="11">
        <v>1.2607528299999999</v>
      </c>
      <c r="G139" s="11">
        <v>1.2607528299999999</v>
      </c>
      <c r="H139" s="12">
        <v>0.99770473999999998</v>
      </c>
      <c r="I139" s="12">
        <v>1.2090000000000001</v>
      </c>
      <c r="J139" s="11">
        <v>1.2302787399999999</v>
      </c>
      <c r="K139" s="11">
        <v>1.3407502899999999</v>
      </c>
      <c r="L139" s="11">
        <v>1.2725215599999999</v>
      </c>
      <c r="M139" s="11">
        <v>3.9624615599999999</v>
      </c>
      <c r="N139" s="11">
        <v>1.2250563999999999</v>
      </c>
      <c r="O139" s="11">
        <v>1.2462244</v>
      </c>
    </row>
    <row r="140" spans="1:15" x14ac:dyDescent="0.3">
      <c r="A140" s="4">
        <v>46276</v>
      </c>
      <c r="B140" s="11">
        <v>1.0171820300000001</v>
      </c>
      <c r="C140" s="12">
        <v>1.22005713</v>
      </c>
      <c r="D140" s="11">
        <v>1.0730103600000001</v>
      </c>
      <c r="E140" s="11">
        <v>1.48303425</v>
      </c>
      <c r="F140" s="11">
        <v>1.2616848199999999</v>
      </c>
      <c r="G140" s="11">
        <v>1.2616848199999999</v>
      </c>
      <c r="H140" s="12">
        <v>1.00047303</v>
      </c>
      <c r="I140" s="12">
        <v>1.2105345000000001</v>
      </c>
      <c r="J140" s="11">
        <v>1.23192268</v>
      </c>
      <c r="K140" s="11">
        <v>1.3419946</v>
      </c>
      <c r="L140" s="11">
        <v>1.2753461699999999</v>
      </c>
      <c r="M140" s="11">
        <v>3.9727677400000001</v>
      </c>
      <c r="N140" s="11">
        <v>1.23002079</v>
      </c>
      <c r="O140" s="11">
        <v>1.24903546</v>
      </c>
    </row>
    <row r="141" spans="1:15" x14ac:dyDescent="0.3">
      <c r="A141" s="4">
        <v>46279</v>
      </c>
      <c r="B141" s="11">
        <v>1.0194176500000001</v>
      </c>
      <c r="C141" s="12">
        <v>1.22405823</v>
      </c>
      <c r="D141" s="11">
        <v>1.0804226100000001</v>
      </c>
      <c r="E141" s="11">
        <v>1.48588655</v>
      </c>
      <c r="F141" s="11">
        <v>1.2666343</v>
      </c>
      <c r="G141" s="11">
        <v>1.2666343</v>
      </c>
      <c r="H141" s="12">
        <v>1.0060696</v>
      </c>
      <c r="I141" s="12">
        <v>1.2153985300000001</v>
      </c>
      <c r="J141" s="11">
        <v>1.2354439699999999</v>
      </c>
      <c r="K141" s="11">
        <v>1.34450995</v>
      </c>
      <c r="L141" s="11">
        <v>1.27760388</v>
      </c>
      <c r="M141" s="11">
        <v>3.9954635999999999</v>
      </c>
      <c r="N141" s="11">
        <v>1.24151338</v>
      </c>
      <c r="O141" s="11">
        <v>1.25289889</v>
      </c>
    </row>
    <row r="142" spans="1:15" x14ac:dyDescent="0.3">
      <c r="A142" s="4">
        <v>46280</v>
      </c>
      <c r="B142" s="11">
        <v>1.02044128</v>
      </c>
      <c r="C142" s="12">
        <v>1.2258720400000001</v>
      </c>
      <c r="D142" s="11">
        <v>1.0821337499999999</v>
      </c>
      <c r="E142" s="11">
        <v>1.48790837</v>
      </c>
      <c r="F142" s="11">
        <v>1.26531796</v>
      </c>
      <c r="G142" s="11">
        <v>1.26531796</v>
      </c>
      <c r="H142" s="12">
        <v>1.0074688599999999</v>
      </c>
      <c r="I142" s="12">
        <v>1.22277905</v>
      </c>
      <c r="J142" s="11">
        <v>1.2365159999999999</v>
      </c>
      <c r="K142" s="11">
        <v>1.34564097</v>
      </c>
      <c r="L142" s="11">
        <v>1.2780193399999999</v>
      </c>
      <c r="M142" s="11">
        <v>4.0055003100000004</v>
      </c>
      <c r="N142" s="11">
        <v>1.24550297</v>
      </c>
      <c r="O142" s="11">
        <v>1.2540483200000001</v>
      </c>
    </row>
    <row r="143" spans="1:15" x14ac:dyDescent="0.3">
      <c r="A143" s="4">
        <v>46281</v>
      </c>
      <c r="B143" s="11">
        <v>1.02140539</v>
      </c>
      <c r="C143" s="12">
        <v>1.22719931</v>
      </c>
      <c r="D143" s="11">
        <v>1.08499287</v>
      </c>
      <c r="E143" s="11">
        <v>1.4886435099999999</v>
      </c>
      <c r="F143" s="11">
        <v>1.2667624900000001</v>
      </c>
      <c r="G143" s="11">
        <v>1.2667624900000001</v>
      </c>
      <c r="H143" s="12">
        <v>1.0089119499999999</v>
      </c>
      <c r="I143" s="12">
        <v>1.22891895</v>
      </c>
      <c r="J143" s="11">
        <v>1.2379524099999999</v>
      </c>
      <c r="K143" s="11">
        <v>1.3460999</v>
      </c>
      <c r="L143" s="11">
        <v>1.2794401099999999</v>
      </c>
      <c r="M143" s="11">
        <v>4.0296776000000003</v>
      </c>
      <c r="N143" s="11">
        <v>1.2507881199999999</v>
      </c>
      <c r="O143" s="11">
        <v>1.25687583</v>
      </c>
    </row>
    <row r="144" spans="1:15" x14ac:dyDescent="0.3">
      <c r="A144" s="4">
        <v>46282</v>
      </c>
      <c r="B144" s="11">
        <v>1.0235362400000001</v>
      </c>
      <c r="C144" s="12">
        <v>1.22855866</v>
      </c>
      <c r="D144" s="11">
        <v>1.08743849</v>
      </c>
      <c r="E144" s="11">
        <v>1.49184129</v>
      </c>
      <c r="F144" s="11">
        <v>1.26914003</v>
      </c>
      <c r="G144" s="11">
        <v>1.26914003</v>
      </c>
      <c r="H144" s="12">
        <v>1.01114254</v>
      </c>
      <c r="I144" s="12">
        <v>1.23183869</v>
      </c>
      <c r="J144" s="11">
        <v>1.2397538800000001</v>
      </c>
      <c r="K144" s="11">
        <v>1.3498274699999999</v>
      </c>
      <c r="L144" s="11">
        <v>1.28144792</v>
      </c>
      <c r="M144" s="11">
        <v>4.04088227</v>
      </c>
      <c r="N144" s="11">
        <v>1.2501676100000001</v>
      </c>
      <c r="O144" s="11">
        <v>1.25794154</v>
      </c>
    </row>
    <row r="145" spans="1:15" x14ac:dyDescent="0.3">
      <c r="A145" s="4">
        <v>46283</v>
      </c>
      <c r="B145" s="11">
        <v>1.0260089699999999</v>
      </c>
      <c r="C145" s="12">
        <v>1.23204487</v>
      </c>
      <c r="D145" s="11">
        <v>1.09631334</v>
      </c>
      <c r="E145" s="11">
        <v>1.49517514</v>
      </c>
      <c r="F145" s="11">
        <v>1.2733092399999999</v>
      </c>
      <c r="G145" s="11">
        <v>1.2733092399999999</v>
      </c>
      <c r="H145" s="12">
        <v>1.0129376000000001</v>
      </c>
      <c r="I145" s="12">
        <v>1.2382925</v>
      </c>
      <c r="J145" s="11">
        <v>1.2423725800000001</v>
      </c>
      <c r="K145" s="11">
        <v>1.35145396</v>
      </c>
      <c r="L145" s="11">
        <v>1.28285122</v>
      </c>
      <c r="M145" s="11">
        <v>4.06846934</v>
      </c>
      <c r="N145" s="11">
        <v>1.2505011100000001</v>
      </c>
      <c r="O145" s="11">
        <v>1.2604560199999999</v>
      </c>
    </row>
    <row r="146" spans="1:15" x14ac:dyDescent="0.3">
      <c r="A146" s="4">
        <v>46286</v>
      </c>
      <c r="B146" s="11">
        <v>1.0249857200000001</v>
      </c>
      <c r="C146" s="12">
        <v>1.2316546799999999</v>
      </c>
      <c r="D146" s="11">
        <v>1.0946988600000001</v>
      </c>
      <c r="E146" s="11">
        <v>1.49389584</v>
      </c>
      <c r="F146" s="11">
        <v>1.2723530999999999</v>
      </c>
      <c r="G146" s="11">
        <v>1.2723530999999999</v>
      </c>
      <c r="H146" s="12">
        <v>1.0114465399999999</v>
      </c>
      <c r="I146" s="12">
        <v>1.2340932099999999</v>
      </c>
      <c r="J146" s="11">
        <v>1.24243803</v>
      </c>
      <c r="K146" s="11">
        <v>1.3505734700000001</v>
      </c>
      <c r="L146" s="11">
        <v>1.28300897</v>
      </c>
      <c r="M146" s="11">
        <v>4.0488869200000002</v>
      </c>
      <c r="N146" s="11">
        <v>1.2535023700000001</v>
      </c>
      <c r="O146" s="11">
        <v>1.26070404</v>
      </c>
    </row>
    <row r="147" spans="1:15" x14ac:dyDescent="0.3">
      <c r="A147" s="4">
        <v>46287</v>
      </c>
      <c r="B147" s="11">
        <v>1.0253491100000001</v>
      </c>
      <c r="C147" s="12">
        <v>1.2316048500000001</v>
      </c>
      <c r="D147" s="11">
        <v>1.08999808</v>
      </c>
      <c r="E147" s="11">
        <v>1.4940571</v>
      </c>
      <c r="F147" s="11">
        <v>1.2718339400000001</v>
      </c>
      <c r="G147" s="11">
        <v>1.2718339400000001</v>
      </c>
      <c r="H147" s="12">
        <v>1.01226349</v>
      </c>
      <c r="I147" s="12">
        <v>1.2315646899999999</v>
      </c>
      <c r="J147" s="11">
        <v>1.2424581299999999</v>
      </c>
      <c r="K147" s="11">
        <v>1.3507939900000001</v>
      </c>
      <c r="L147" s="11">
        <v>1.28149376</v>
      </c>
      <c r="M147" s="11">
        <v>4.0369820399999998</v>
      </c>
      <c r="N147" s="11">
        <v>1.25192474</v>
      </c>
      <c r="O147" s="11">
        <v>1.2606395699999999</v>
      </c>
    </row>
    <row r="148" spans="1:15" x14ac:dyDescent="0.3">
      <c r="A148" s="4">
        <v>46288</v>
      </c>
      <c r="B148" s="11">
        <v>1.0240504800000001</v>
      </c>
      <c r="C148" s="12">
        <v>1.2308570400000001</v>
      </c>
      <c r="D148" s="11">
        <v>1.09026702</v>
      </c>
      <c r="E148" s="11">
        <v>1.4939936199999999</v>
      </c>
      <c r="F148" s="11">
        <v>1.26972865</v>
      </c>
      <c r="G148" s="11">
        <v>1.26972865</v>
      </c>
      <c r="H148" s="12">
        <v>1.0113740099999999</v>
      </c>
      <c r="I148" s="12">
        <v>1.2301632499999999</v>
      </c>
      <c r="J148" s="11">
        <v>1.2429414299999999</v>
      </c>
      <c r="K148" s="11">
        <v>1.3492921600000001</v>
      </c>
      <c r="L148" s="11">
        <v>1.2815449699999999</v>
      </c>
      <c r="M148" s="11">
        <v>4.03251793</v>
      </c>
      <c r="N148" s="11">
        <v>1.2503633599999999</v>
      </c>
      <c r="O148" s="11">
        <v>1.26129709</v>
      </c>
    </row>
    <row r="149" spans="1:15" x14ac:dyDescent="0.3">
      <c r="A149" s="4">
        <v>46289</v>
      </c>
      <c r="B149" s="11">
        <v>1.02456668</v>
      </c>
      <c r="C149" s="12">
        <v>1.23299767</v>
      </c>
      <c r="D149" s="11">
        <v>1.0917816499999999</v>
      </c>
      <c r="E149" s="11">
        <v>1.49460317</v>
      </c>
      <c r="F149" s="11">
        <v>1.2679350199999999</v>
      </c>
      <c r="G149" s="11">
        <v>1.2679350199999999</v>
      </c>
      <c r="H149" s="12">
        <v>1.01355576</v>
      </c>
      <c r="I149" s="12">
        <v>1.2290459600000001</v>
      </c>
      <c r="J149" s="11">
        <v>1.2441817799999999</v>
      </c>
      <c r="K149" s="11">
        <v>1.3479110400000001</v>
      </c>
      <c r="L149" s="11">
        <v>1.2796838800000001</v>
      </c>
      <c r="M149" s="11">
        <v>4.0260275500000002</v>
      </c>
      <c r="N149" s="11">
        <v>1.2430008400000001</v>
      </c>
      <c r="O149" s="11">
        <v>1.2624856600000001</v>
      </c>
    </row>
    <row r="150" spans="1:15" x14ac:dyDescent="0.3">
      <c r="A150" s="4">
        <v>46290</v>
      </c>
      <c r="B150" s="11">
        <v>1.0266372500000001</v>
      </c>
      <c r="C150" s="12">
        <v>1.23756672</v>
      </c>
      <c r="D150" s="11">
        <v>1.09202855</v>
      </c>
      <c r="E150" s="11">
        <v>1.4954674699999999</v>
      </c>
      <c r="F150" s="11">
        <v>1.26970279</v>
      </c>
      <c r="G150" s="11">
        <v>1.26970279</v>
      </c>
      <c r="H150" s="12">
        <v>1.0173794300000001</v>
      </c>
      <c r="I150" s="12">
        <v>1.22755076</v>
      </c>
      <c r="J150" s="11">
        <v>1.24693685</v>
      </c>
      <c r="K150" s="11">
        <v>1.3493975899999999</v>
      </c>
      <c r="L150" s="11">
        <v>1.2844502499999999</v>
      </c>
      <c r="M150" s="11">
        <v>4.0183252899999999</v>
      </c>
      <c r="N150" s="11">
        <v>1.2490924465058999</v>
      </c>
      <c r="O150" s="11">
        <v>1.2646537799999999</v>
      </c>
    </row>
    <row r="151" spans="1:15" x14ac:dyDescent="0.3">
      <c r="A151" s="4">
        <f>+WORKDAY(A150,1,Feriados!$A$2:$A$38)</f>
        <v>46293</v>
      </c>
      <c r="B151" s="11">
        <v>1.0268137500000001</v>
      </c>
      <c r="C151" s="12">
        <v>1.2389035100000001</v>
      </c>
      <c r="D151" s="11">
        <v>1.0912433500000001</v>
      </c>
      <c r="E151" s="11">
        <v>1.4964230700000001</v>
      </c>
      <c r="F151" s="11">
        <v>1.2672363799999999</v>
      </c>
      <c r="G151" s="11">
        <v>1.2672363799999999</v>
      </c>
      <c r="H151" s="12">
        <v>1.01737356</v>
      </c>
      <c r="I151" s="12">
        <v>1.23092727</v>
      </c>
      <c r="J151" s="11">
        <v>1.2469439899999999</v>
      </c>
      <c r="K151" s="11">
        <v>1.3470452900000001</v>
      </c>
      <c r="L151" s="11">
        <v>1.2805150000000001</v>
      </c>
      <c r="M151" s="11">
        <v>4.0270874499999998</v>
      </c>
      <c r="N151" s="11">
        <v>1.25957461</v>
      </c>
      <c r="O151" s="11">
        <v>1.26614878</v>
      </c>
    </row>
    <row r="152" spans="1:15" x14ac:dyDescent="0.3">
      <c r="A152" s="4">
        <f>+WORKDAY(A151,1,Feriados!$A$2:$A$38)</f>
        <v>46294</v>
      </c>
      <c r="B152" s="11">
        <v>1.02808225</v>
      </c>
      <c r="C152" s="12">
        <v>1.2374037200000001</v>
      </c>
      <c r="D152" s="11">
        <v>1.08950003</v>
      </c>
      <c r="E152" s="11">
        <v>1.49537925</v>
      </c>
      <c r="F152" s="11">
        <v>1.2681650499999999</v>
      </c>
      <c r="G152" s="11">
        <v>1.2681650499999999</v>
      </c>
      <c r="H152" s="12">
        <v>1.01798637</v>
      </c>
      <c r="I152" s="12">
        <v>1.22842539</v>
      </c>
      <c r="J152" s="11">
        <v>1.2482832399999999</v>
      </c>
      <c r="K152" s="11">
        <v>1.34858872</v>
      </c>
      <c r="L152" s="11">
        <v>1.2803557299999999</v>
      </c>
      <c r="M152" s="11">
        <v>4.0389832800000001</v>
      </c>
      <c r="N152" s="11">
        <v>1.2490000000000001</v>
      </c>
      <c r="O152" s="11">
        <v>1.2669357299999999</v>
      </c>
    </row>
    <row r="153" spans="1:15" x14ac:dyDescent="0.3">
      <c r="A153" s="4">
        <f>+WORKDAY(A152,1,Feriados!$A$2:$A$38)</f>
        <v>46295</v>
      </c>
      <c r="B153" s="11">
        <v>1.0294134500000001</v>
      </c>
      <c r="C153" s="12">
        <v>1.2382487799999999</v>
      </c>
      <c r="D153" s="11">
        <v>1.09140441</v>
      </c>
      <c r="E153" s="11">
        <v>1.4983319500000001</v>
      </c>
      <c r="F153" s="11">
        <v>1.2717833300000001</v>
      </c>
      <c r="G153" s="11">
        <v>1.2717833300000001</v>
      </c>
      <c r="H153" s="12">
        <v>1.0209493199999999</v>
      </c>
      <c r="I153" s="12">
        <v>1.2336243200000001</v>
      </c>
      <c r="J153" s="11">
        <v>1.2495673300000001</v>
      </c>
      <c r="K153" s="11">
        <v>1.3505428799999999</v>
      </c>
      <c r="L153" s="11">
        <v>1.2849759700000001</v>
      </c>
      <c r="M153" s="11">
        <v>4.0563561100000003</v>
      </c>
      <c r="N153" s="11">
        <v>1.2612042400000001</v>
      </c>
      <c r="O153" s="11">
        <v>1.2695935</v>
      </c>
    </row>
    <row r="154" spans="1:15" x14ac:dyDescent="0.3">
      <c r="A154" s="4">
        <f>+WORKDAY(A153,1,Feriados!$A$2:$A$38)</f>
        <v>46296</v>
      </c>
      <c r="B154" s="11">
        <v>1.03125109</v>
      </c>
      <c r="C154" s="12">
        <v>1.2417132399999999</v>
      </c>
      <c r="D154" s="11">
        <v>1.093718</v>
      </c>
      <c r="E154" s="11">
        <v>1.5004969800000001</v>
      </c>
      <c r="F154" s="11">
        <v>1.2719944599999999</v>
      </c>
      <c r="G154" s="11">
        <v>1.2719944599999999</v>
      </c>
      <c r="H154" s="12">
        <v>1.0234993400000001</v>
      </c>
      <c r="I154" s="12">
        <v>1.2413334300000001</v>
      </c>
      <c r="J154" s="11">
        <v>1.25193624</v>
      </c>
      <c r="K154" s="11">
        <v>1.35353996</v>
      </c>
      <c r="L154" s="11">
        <v>1.28608604</v>
      </c>
      <c r="M154" s="11">
        <v>4.0714517199999998</v>
      </c>
      <c r="N154" s="11">
        <v>1.26743049</v>
      </c>
      <c r="O154" s="11">
        <v>1.2704156900000001</v>
      </c>
    </row>
    <row r="155" spans="1:15" x14ac:dyDescent="0.3">
      <c r="A155" s="4">
        <f>+WORKDAY(A154,1,Feriados!$A$2:$A$38)</f>
        <v>46297</v>
      </c>
      <c r="B155" s="11">
        <v>1.034098</v>
      </c>
      <c r="C155" s="12">
        <v>1.24830782</v>
      </c>
      <c r="D155" s="11">
        <v>1.09451115</v>
      </c>
      <c r="E155" s="11">
        <v>1.50454106</v>
      </c>
      <c r="F155" s="11">
        <v>1.2774154</v>
      </c>
      <c r="G155" s="11">
        <v>1.2774154</v>
      </c>
      <c r="H155" s="12">
        <v>1.0262334500000001</v>
      </c>
      <c r="I155" s="12">
        <v>1.2449642299999999</v>
      </c>
      <c r="J155" s="11">
        <v>1.2542973500000001</v>
      </c>
      <c r="K155" s="11">
        <v>1.3561210500000001</v>
      </c>
      <c r="L155" s="11">
        <v>1.2912119900000001</v>
      </c>
      <c r="M155" s="11">
        <v>4.0712235899999998</v>
      </c>
      <c r="N155" s="11">
        <v>1.2653342400000001</v>
      </c>
      <c r="O155" s="11">
        <v>1.27322231</v>
      </c>
    </row>
    <row r="156" spans="1:15" x14ac:dyDescent="0.3">
      <c r="A156" s="4">
        <f>+WORKDAY(A155,1,Feriados!$A$2:$A$38)</f>
        <v>46300</v>
      </c>
      <c r="B156" s="11">
        <v>1.0356566199999999</v>
      </c>
      <c r="C156" s="12">
        <v>1.2505858299999999</v>
      </c>
      <c r="D156" s="11">
        <v>1.0940564699999999</v>
      </c>
      <c r="E156" s="11">
        <v>1.5063051999999999</v>
      </c>
      <c r="F156" s="11">
        <v>1.2804176300000001</v>
      </c>
      <c r="G156" s="11">
        <v>1.2804176300000001</v>
      </c>
      <c r="H156" s="11">
        <v>1.0272334599999999</v>
      </c>
      <c r="I156" s="11">
        <v>1.24899917</v>
      </c>
      <c r="J156" s="11">
        <v>1.2550632399999999</v>
      </c>
      <c r="K156" s="11">
        <v>1.3539822399999999</v>
      </c>
      <c r="L156" s="11">
        <v>1.2890465900000001</v>
      </c>
      <c r="M156" s="11">
        <v>4.0846097800000001</v>
      </c>
      <c r="N156" s="11">
        <v>1.2798166900000001</v>
      </c>
      <c r="O156" s="11">
        <v>1.27487241</v>
      </c>
    </row>
    <row r="157" spans="1:15" x14ac:dyDescent="0.3">
      <c r="A157" s="4">
        <f>+WORKDAY(A156,1,Feriados!$A$2:$A$38)</f>
        <v>46301</v>
      </c>
      <c r="B157" s="11">
        <v>1.03645627</v>
      </c>
      <c r="C157" s="11">
        <v>1.2508325600000001</v>
      </c>
      <c r="D157" s="11">
        <v>1.09775508</v>
      </c>
      <c r="E157" s="11">
        <v>1.5070904899999999</v>
      </c>
      <c r="F157" s="11">
        <v>1.2822477234033001</v>
      </c>
      <c r="G157" s="11">
        <v>1.2822477234033001</v>
      </c>
      <c r="H157" s="11">
        <v>1.0288155000000001</v>
      </c>
      <c r="I157" s="11">
        <v>1.2497534400000001</v>
      </c>
      <c r="J157" s="11">
        <v>1.2552875400000001</v>
      </c>
      <c r="K157" s="11">
        <v>1.3604319</v>
      </c>
      <c r="L157" s="11">
        <v>1.29508263</v>
      </c>
      <c r="M157" s="11">
        <v>4.0900729399999998</v>
      </c>
      <c r="N157" s="11">
        <v>1.2722120800000001</v>
      </c>
      <c r="O157" s="11">
        <v>1.2755211200000001</v>
      </c>
    </row>
    <row r="158" spans="1:15" x14ac:dyDescent="0.3">
      <c r="A158" s="4">
        <f>+WORKDAY(A157,1,Feriados!$A$2:$A$38)</f>
        <v>46302</v>
      </c>
      <c r="B158" s="11">
        <v>1.0368340300000001</v>
      </c>
      <c r="C158" s="11">
        <v>1.24982745</v>
      </c>
      <c r="D158" s="11">
        <v>1.10071407</v>
      </c>
      <c r="E158" s="11">
        <v>1.5086614</v>
      </c>
      <c r="F158" s="11">
        <v>1.2838353899999999</v>
      </c>
      <c r="G158" s="11">
        <v>1.2838353899999999</v>
      </c>
      <c r="H158" s="11">
        <v>1.0285748800000001</v>
      </c>
      <c r="I158" s="11">
        <v>1.2525073600000001</v>
      </c>
      <c r="J158" s="11">
        <v>1.2563465</v>
      </c>
      <c r="K158" s="11">
        <v>1.3638211099999999</v>
      </c>
      <c r="L158" s="11">
        <v>1.2972002300000001</v>
      </c>
      <c r="M158" s="11">
        <v>4.0877081000000004</v>
      </c>
      <c r="N158" s="11">
        <v>1.2782489500000001</v>
      </c>
      <c r="O158" s="11">
        <v>1.27552815</v>
      </c>
    </row>
    <row r="159" spans="1:15" x14ac:dyDescent="0.3">
      <c r="A159" s="4">
        <f>+WORKDAY(A158,1,Feriados!$A$2:$A$38)</f>
        <v>46303</v>
      </c>
      <c r="B159" s="11">
        <v>1.0378953</v>
      </c>
      <c r="C159" s="11">
        <v>1.25065581</v>
      </c>
      <c r="D159" s="11">
        <v>1.1008573500000001</v>
      </c>
      <c r="E159" s="11">
        <v>1.5098224</v>
      </c>
      <c r="F159" s="11">
        <v>1.284648</v>
      </c>
      <c r="G159" s="11">
        <v>1.284648</v>
      </c>
      <c r="H159" s="11">
        <v>1.0286919000000001</v>
      </c>
      <c r="I159" s="11">
        <v>1.2515807800000001</v>
      </c>
      <c r="J159" s="11">
        <v>1.2574978000000001</v>
      </c>
      <c r="K159" s="11">
        <v>1.3664060499999999</v>
      </c>
      <c r="L159" s="11">
        <v>1.30047062</v>
      </c>
      <c r="M159" s="11">
        <v>4.0897800000000002</v>
      </c>
      <c r="N159" s="11">
        <v>1.277136</v>
      </c>
      <c r="O159" s="11">
        <v>1.2763398500000001</v>
      </c>
    </row>
    <row r="160" spans="1:15" x14ac:dyDescent="0.3">
      <c r="A160" s="4">
        <f>+WORKDAY(A159,1,Feriados!$A$2:$A$38)</f>
        <v>46304</v>
      </c>
      <c r="B160" s="11">
        <v>1.0415968799999999</v>
      </c>
      <c r="C160" s="11">
        <v>1.2552227199999999</v>
      </c>
      <c r="D160" s="11">
        <v>1.10295125</v>
      </c>
      <c r="E160" s="11">
        <v>1.51388945</v>
      </c>
      <c r="F160" s="11">
        <v>1.2905880999999999</v>
      </c>
      <c r="G160" s="11">
        <v>1.2905880999999999</v>
      </c>
      <c r="H160" s="11">
        <v>1.0299231099999999</v>
      </c>
      <c r="I160" s="11">
        <v>1.25329863</v>
      </c>
      <c r="J160" s="11">
        <v>1.26211111</v>
      </c>
      <c r="K160" s="11">
        <v>1.36954767</v>
      </c>
      <c r="L160" s="11">
        <v>1.3063048799999999</v>
      </c>
      <c r="M160" s="11">
        <v>4.0949929899999997</v>
      </c>
      <c r="N160" s="11">
        <v>1.27508665</v>
      </c>
      <c r="O160" s="11">
        <v>1.27997136</v>
      </c>
    </row>
    <row r="161" spans="1:15" x14ac:dyDescent="0.3">
      <c r="A161" s="4">
        <f>+WORKDAY(A160,1,Feriados!$A$2:$A$38)</f>
        <v>46308</v>
      </c>
      <c r="B161" s="11">
        <v>1.0406137799999999</v>
      </c>
      <c r="C161" s="11">
        <v>1.25371196</v>
      </c>
      <c r="D161" s="11">
        <v>1.1039651500000001</v>
      </c>
      <c r="E161" s="11">
        <v>1.51469338</v>
      </c>
      <c r="F161" s="11">
        <v>1.2911038800000001</v>
      </c>
      <c r="G161" s="11">
        <v>1.2911038800000001</v>
      </c>
      <c r="H161" s="11">
        <v>1.0300585799999999</v>
      </c>
      <c r="I161" s="11">
        <v>1.25503353</v>
      </c>
      <c r="J161" s="11">
        <v>1.2606297799999999</v>
      </c>
      <c r="K161" s="11">
        <v>1.3711843500000001</v>
      </c>
      <c r="L161" s="11">
        <v>1.3084733</v>
      </c>
      <c r="M161" s="11">
        <v>4.1012386899999997</v>
      </c>
      <c r="N161" s="11">
        <v>1.2767506399999999</v>
      </c>
      <c r="O161" s="11">
        <v>1.2802404700000001</v>
      </c>
    </row>
    <row r="162" spans="1:15" x14ac:dyDescent="0.3">
      <c r="A162" s="4">
        <f>+WORKDAY(A161,1,Feriados!$A$2:$A$38)</f>
        <v>46309</v>
      </c>
      <c r="B162" s="11">
        <f>INDEX('[1]Precios historicos'!$A:$AZ,MATCH(B$1,'[1]Precios historicos'!$A:$A,0),MATCH($A162,'[1]Precios historicos'!$7:$7,0))</f>
        <v>1.04013471</v>
      </c>
      <c r="C162" s="11">
        <f>INDEX('[1]Precios historicos'!$A:$AZ,MATCH(C$1,'[1]Precios historicos'!$A:$A,0),MATCH($A162,'[1]Precios historicos'!$7:$7,0))</f>
        <v>1.25551919</v>
      </c>
      <c r="D162" s="11">
        <f>INDEX('[1]Precios historicos'!$A:$AZ,MATCH(D$1,'[1]Precios historicos'!$A:$A,0),MATCH($A162,'[1]Precios historicos'!$7:$7,0))</f>
        <v>1.1058990500000001</v>
      </c>
      <c r="E162" s="11">
        <f>INDEX('[1]Precios historicos'!$A:$AZ,MATCH(E$1,'[1]Precios historicos'!$A:$A,0),MATCH($A162,'[1]Precios historicos'!$7:$7,0))</f>
        <v>1.51396376</v>
      </c>
      <c r="F162" s="11">
        <f>INDEX('[1]Precios historicos'!$A:$AZ,MATCH(F$1,'[1]Precios historicos'!$A:$A,0),MATCH($A162,'[1]Precios historicos'!$7:$7,0))</f>
        <v>1.291304</v>
      </c>
      <c r="G162" s="11">
        <v>1.291304</v>
      </c>
      <c r="H162" s="11">
        <v>1.0310101599999999</v>
      </c>
      <c r="I162" s="11">
        <v>1.2571690799999999</v>
      </c>
      <c r="J162" s="11">
        <v>1.26006102</v>
      </c>
      <c r="K162" s="11">
        <v>1.37126331</v>
      </c>
      <c r="L162" s="11">
        <v>1.3090459999999999</v>
      </c>
      <c r="M162" s="11">
        <v>4.1108232600000001</v>
      </c>
      <c r="N162" s="11">
        <v>1.2759046999999999</v>
      </c>
      <c r="O162" s="11">
        <v>1.2795586299999999</v>
      </c>
    </row>
    <row r="163" spans="1:15" x14ac:dyDescent="0.3">
      <c r="A163" s="4">
        <f>+WORKDAY(A162,1,Feriados!$A$2:$A$38)</f>
        <v>46310</v>
      </c>
      <c r="B163" s="11">
        <f>INDEX('[1]Precios historicos'!$A:$AZ,MATCH(B$1,'[1]Precios historicos'!$A:$A,0),MATCH($A163,'[1]Precios historicos'!$7:$7,0))</f>
        <v>1.0380406799999999</v>
      </c>
      <c r="C163" s="11">
        <f>INDEX('[1]Precios historicos'!$A:$AZ,MATCH(C$1,'[1]Precios historicos'!$A:$A,0),MATCH($A163,'[1]Precios historicos'!$7:$7,0))</f>
        <v>1.2569410700000001</v>
      </c>
      <c r="D163" s="11">
        <f>INDEX('[1]Precios historicos'!$A:$AZ,MATCH(D$1,'[1]Precios historicos'!$A:$A,0),MATCH($A163,'[1]Precios historicos'!$7:$7,0))</f>
        <v>1.11006571</v>
      </c>
      <c r="E163" s="11">
        <f>INDEX('[1]Precios historicos'!$A:$AZ,MATCH(E$1,'[1]Precios historicos'!$A:$A,0),MATCH($A163,'[1]Precios historicos'!$7:$7,0))</f>
        <v>1.51818404</v>
      </c>
      <c r="F163" s="11">
        <f>INDEX('[1]Precios historicos'!$A:$AZ,MATCH(F$1,'[1]Precios historicos'!$A:$A,0),MATCH($A163,'[1]Precios historicos'!$7:$7,0))</f>
        <v>1.29516952</v>
      </c>
      <c r="G163" s="11">
        <v>1.29516952</v>
      </c>
      <c r="H163" s="11">
        <v>1.0331343399999999</v>
      </c>
      <c r="I163" s="11">
        <v>1.2612713499999999</v>
      </c>
      <c r="J163" s="11">
        <v>1.2619768200000001</v>
      </c>
      <c r="K163" s="11">
        <v>1.3748229700000001</v>
      </c>
      <c r="L163" s="11">
        <v>1.3161225700000001</v>
      </c>
      <c r="M163" s="11">
        <v>4.1311680300000004</v>
      </c>
      <c r="N163" s="11">
        <v>1.27900002</v>
      </c>
      <c r="O163" s="11">
        <v>1.2819699200000001</v>
      </c>
    </row>
    <row r="164" spans="1:15" x14ac:dyDescent="0.3">
      <c r="A164" s="4">
        <f>+WORKDAY(A163,1,Feriados!$A$2:$A$38)</f>
        <v>46311</v>
      </c>
      <c r="B164" s="11">
        <f>INDEX('[2]Precios Históricos'!$A:$AZ,MATCH(B$1,'[2]Precios Históricos'!$B:$B,0),MATCH($A164,'[2]Precios Históricos'!$6:$6,0))</f>
        <v>1.0465052399999999</v>
      </c>
      <c r="C164" s="11">
        <f>INDEX('[2]Precios Históricos'!$A:$AZ,MATCH(C$1,'[2]Precios Históricos'!$B:$B,0),MATCH($A164,'[2]Precios Históricos'!$6:$6,0))</f>
        <v>1.2600124800000001</v>
      </c>
      <c r="D164" s="11">
        <f>INDEX('[2]Precios Históricos'!$A:$AZ,MATCH(D$1,'[2]Precios Históricos'!$B:$B,0),MATCH($A164,'[2]Precios Históricos'!$6:$6,0))</f>
        <v>1.1138335500000001</v>
      </c>
      <c r="E164" s="11">
        <f>INDEX('[2]Precios Históricos'!$A:$AZ,MATCH(E$1,'[2]Precios Históricos'!$B:$B,0),MATCH($A164,'[2]Precios Históricos'!$6:$6,0))</f>
        <v>1.5226219299999999</v>
      </c>
      <c r="F164" s="11">
        <f>INDEX('[2]Precios Históricos'!$A:$AZ,MATCH(F$1,'[2]Precios Históricos'!$B:$B,0),MATCH($A164,'[2]Precios Históricos'!$6:$6,0))</f>
        <v>1.29837176</v>
      </c>
      <c r="G164" s="11">
        <f>INDEX('[2]Precios Históricos'!$A:$AZ,MATCH(G$1,'[2]Precios Históricos'!$B:$B,0),MATCH($A164,'[2]Precios Históricos'!$6:$6,0))</f>
        <v>1.29837176</v>
      </c>
      <c r="H164" s="11">
        <f>INDEX('[2]Precios Históricos'!$A:$AZ,MATCH(H$1,'[2]Precios Históricos'!$B:$B,0),MATCH($A164,'[2]Precios Históricos'!$6:$6,0))</f>
        <v>1.03549508</v>
      </c>
      <c r="I164" s="11">
        <f>INDEX('[2]Precios Históricos'!$A:$AZ,MATCH(I$1,'[2]Precios Históricos'!$B:$B,0),MATCH($A164,'[2]Precios Históricos'!$6:$6,0))</f>
        <v>1.26553798</v>
      </c>
      <c r="J164" s="11">
        <f>INDEX('[2]Precios Históricos'!$A:$AZ,MATCH(J$1,'[2]Precios Históricos'!$B:$B,0),MATCH($A164,'[2]Precios Históricos'!$6:$6,0))</f>
        <v>1.2652142500000001</v>
      </c>
      <c r="K164" s="11">
        <f>INDEX('[2]Precios Históricos'!$A:$AZ,MATCH(K$1,'[2]Precios Históricos'!$B:$B,0),MATCH($A164,'[2]Precios Históricos'!$6:$6,0))</f>
        <v>1.3789722900000001</v>
      </c>
      <c r="L164" s="11">
        <f>INDEX('[2]Precios Históricos'!$A:$AZ,MATCH(L$1,'[2]Precios Históricos'!$B:$B,0),MATCH($A164,'[2]Precios Históricos'!$6:$6,0))</f>
        <v>1.31940788</v>
      </c>
      <c r="M164" s="11">
        <f>INDEX('[2]Precios Históricos'!$A:$AZ,MATCH(M$1,'[2]Precios Históricos'!$B:$B,0),MATCH($A164,'[2]Precios Históricos'!$6:$6,0))</f>
        <v>4.1422743400000002</v>
      </c>
      <c r="N164" s="11">
        <f>INDEX('[2]Precios Históricos'!$A:$AZ,MATCH(N$1,'[2]Precios Históricos'!$B:$B,0),MATCH($A164,'[2]Precios Históricos'!$6:$6,0))</f>
        <v>1.28355018</v>
      </c>
      <c r="O164" s="11">
        <f>INDEX('[2]Precios Históricos'!$A:$AZ,MATCH(O$1,'[2]Precios Históricos'!$B:$B,0),MATCH($A164,'[2]Precios Históricos'!$6:$6,0))</f>
        <v>1.2836386500000001</v>
      </c>
    </row>
    <row r="165" spans="1:15" x14ac:dyDescent="0.3">
      <c r="A165" s="4">
        <f>+WORKDAY(A164,1,Feriados!$A$2:$A$38)</f>
        <v>46314</v>
      </c>
      <c r="B165" s="11">
        <f>INDEX('[2]Precios Históricos'!$A:$AZ,MATCH(B$1,'[2]Precios Históricos'!$B:$B,0),MATCH($A165,'[2]Precios Históricos'!$6:$6,0))</f>
        <v>1.0468394599999999</v>
      </c>
      <c r="C165" s="11">
        <f>INDEX('[2]Precios Históricos'!$A:$AZ,MATCH(C$1,'[2]Precios Históricos'!$B:$B,0),MATCH($A165,'[2]Precios Históricos'!$6:$6,0))</f>
        <v>1.26114211</v>
      </c>
      <c r="D165" s="11">
        <f>INDEX('[2]Precios Históricos'!$A:$AZ,MATCH(D$1,'[2]Precios Históricos'!$B:$B,0),MATCH($A165,'[2]Precios Históricos'!$6:$6,0))</f>
        <v>1.1153652149836599</v>
      </c>
      <c r="E165" s="11">
        <f>INDEX('[2]Precios Históricos'!$A:$AZ,MATCH(E$1,'[2]Precios Históricos'!$B:$B,0),MATCH($A165,'[2]Precios Históricos'!$6:$6,0))</f>
        <v>1.5235683499999999</v>
      </c>
      <c r="F165" s="11">
        <f>INDEX('[2]Precios Históricos'!$A:$AZ,MATCH(F$1,'[2]Precios Históricos'!$B:$B,0),MATCH($A165,'[2]Precios Históricos'!$6:$6,0))</f>
        <v>1.2980624199999999</v>
      </c>
      <c r="G165" s="11">
        <f>INDEX('[2]Precios Históricos'!$A:$AZ,MATCH(G$1,'[2]Precios Históricos'!$B:$B,0),MATCH($A165,'[2]Precios Históricos'!$6:$6,0))</f>
        <v>1.2980624199999999</v>
      </c>
      <c r="H165" s="11">
        <f>INDEX('[2]Precios Históricos'!$A:$AZ,MATCH(H$1,'[2]Precios Históricos'!$B:$B,0),MATCH($A165,'[2]Precios Históricos'!$6:$6,0))</f>
        <v>1.03625682</v>
      </c>
      <c r="I165" s="11">
        <f>INDEX('[2]Precios Históricos'!$A:$AZ,MATCH(I$1,'[2]Precios Históricos'!$B:$B,0),MATCH($A165,'[2]Precios Históricos'!$6:$6,0))</f>
        <v>1.26702314</v>
      </c>
      <c r="J165" s="11">
        <f>INDEX('[2]Precios Históricos'!$A:$AZ,MATCH(J$1,'[2]Precios Históricos'!$B:$B,0),MATCH($A165,'[2]Precios Históricos'!$6:$6,0))</f>
        <v>1.2658785699999999</v>
      </c>
      <c r="K165" s="11">
        <f>INDEX('[2]Precios Históricos'!$A:$AZ,MATCH(K$1,'[2]Precios Históricos'!$B:$B,0),MATCH($A165,'[2]Precios Históricos'!$6:$6,0))</f>
        <v>1.3791142999999999</v>
      </c>
      <c r="L165" s="11">
        <f>INDEX('[2]Precios Históricos'!$A:$AZ,MATCH(L$1,'[2]Precios Históricos'!$B:$B,0),MATCH($A165,'[2]Precios Históricos'!$6:$6,0))</f>
        <v>1.31927609</v>
      </c>
      <c r="M165" s="11">
        <f>INDEX('[2]Precios Históricos'!$A:$AZ,MATCH(M$1,'[2]Precios Históricos'!$B:$B,0),MATCH($A165,'[2]Precios Históricos'!$6:$6,0))</f>
        <v>4.1445826600000002</v>
      </c>
      <c r="N165" s="11">
        <f>INDEX('[2]Precios Históricos'!$A:$AZ,MATCH(N$1,'[2]Precios Históricos'!$B:$B,0),MATCH($A165,'[2]Precios Históricos'!$6:$6,0))</f>
        <v>1.28404717</v>
      </c>
      <c r="O165" s="11">
        <f>INDEX('[2]Precios Históricos'!$A:$AZ,MATCH(O$1,'[2]Precios Históricos'!$B:$B,0),MATCH($A165,'[2]Precios Históricos'!$6:$6,0))</f>
        <v>1.28512731</v>
      </c>
    </row>
    <row r="166" spans="1:15" x14ac:dyDescent="0.3">
      <c r="A166" s="4">
        <f>+WORKDAY(A165,1,Feriados!$A$2:$A$38)</f>
        <v>46315</v>
      </c>
      <c r="B166" s="11">
        <f>INDEX('[2]Precios Históricos'!$A:$AZ,MATCH(B$1,'[2]Precios Históricos'!$B:$B,0),MATCH($A166,'[2]Precios Históricos'!$6:$6,0))</f>
        <v>1.04730795</v>
      </c>
      <c r="C166" s="11">
        <f>INDEX('[2]Precios Históricos'!$A:$AZ,MATCH(C$1,'[2]Precios Históricos'!$B:$B,0),MATCH($A166,'[2]Precios Históricos'!$6:$6,0))</f>
        <v>1.2627306899999999</v>
      </c>
      <c r="D166" s="11">
        <f>INDEX('[2]Precios Históricos'!$A:$AZ,MATCH(D$1,'[2]Precios Históricos'!$B:$B,0),MATCH($A166,'[2]Precios Históricos'!$6:$6,0))</f>
        <v>1.11652306</v>
      </c>
      <c r="E166" s="11">
        <f>INDEX('[2]Precios Históricos'!$A:$AZ,MATCH(E$1,'[2]Precios Históricos'!$B:$B,0),MATCH($A166,'[2]Precios Históricos'!$6:$6,0))</f>
        <v>1.5249278500000001</v>
      </c>
      <c r="F166" s="11">
        <f>INDEX('[2]Precios Históricos'!$A:$AZ,MATCH(F$1,'[2]Precios Históricos'!$B:$B,0),MATCH($A166,'[2]Precios Históricos'!$6:$6,0))</f>
        <v>1.3009219000000001</v>
      </c>
      <c r="G166" s="11">
        <f>INDEX('[2]Precios Históricos'!$A:$AZ,MATCH(G$1,'[2]Precios Históricos'!$B:$B,0),MATCH($A166,'[2]Precios Históricos'!$6:$6,0))</f>
        <v>1.3009219000000001</v>
      </c>
      <c r="H166" s="11">
        <f>INDEX('[2]Precios Históricos'!$A:$AZ,MATCH(H$1,'[2]Precios Históricos'!$B:$B,0),MATCH($A166,'[2]Precios Históricos'!$6:$6,0))</f>
        <v>1.03749885</v>
      </c>
      <c r="I166" s="11">
        <f>INDEX('[2]Precios Históricos'!$A:$AZ,MATCH(I$1,'[2]Precios Históricos'!$B:$B,0),MATCH($A166,'[2]Precios Históricos'!$6:$6,0))</f>
        <v>1.2677409399999999</v>
      </c>
      <c r="J166" s="11">
        <f>INDEX('[2]Precios Históricos'!$A:$AZ,MATCH(J$1,'[2]Precios Históricos'!$B:$B,0),MATCH($A166,'[2]Precios Históricos'!$6:$6,0))</f>
        <v>1.2667788499999999</v>
      </c>
      <c r="K166" s="11">
        <f>INDEX('[2]Precios Históricos'!$A:$AZ,MATCH(K$1,'[2]Precios Históricos'!$B:$B,0),MATCH($A166,'[2]Precios Históricos'!$6:$6,0))</f>
        <v>1.38088601</v>
      </c>
      <c r="L166" s="11">
        <f>INDEX('[2]Precios Históricos'!$A:$AZ,MATCH(L$1,'[2]Precios Históricos'!$B:$B,0),MATCH($A166,'[2]Precios Históricos'!$6:$6,0))</f>
        <v>1.32152921</v>
      </c>
      <c r="M166" s="11">
        <f>INDEX('[2]Precios Históricos'!$A:$AZ,MATCH(M$1,'[2]Precios Históricos'!$B:$B,0),MATCH($A166,'[2]Precios Históricos'!$6:$6,0))</f>
        <v>4.1452876099999996</v>
      </c>
      <c r="N166" s="11">
        <f>INDEX('[2]Precios Históricos'!$A:$AZ,MATCH(N$1,'[2]Precios Históricos'!$B:$B,0),MATCH($A166,'[2]Precios Históricos'!$6:$6,0))</f>
        <v>1.28724576</v>
      </c>
      <c r="O166" s="11">
        <f>INDEX('[2]Precios Históricos'!$A:$AZ,MATCH(O$1,'[2]Precios Históricos'!$B:$B,0),MATCH($A166,'[2]Precios Históricos'!$6:$6,0))</f>
        <v>1.2854595799999999</v>
      </c>
    </row>
    <row r="167" spans="1:15" x14ac:dyDescent="0.3">
      <c r="A167" s="4">
        <f>+WORKDAY(A166,1,Feriados!$A$2:$A$38)</f>
        <v>46316</v>
      </c>
      <c r="B167" s="11">
        <f>INDEX('[2]Precios Históricos'!$A:$AZ,MATCH(B$1,'[2]Precios Históricos'!$B:$B,0),MATCH($A167,'[2]Precios Históricos'!$6:$6,0))</f>
        <v>1.0483183599999999</v>
      </c>
      <c r="C167" s="11">
        <f>INDEX('[2]Precios Históricos'!$A:$AZ,MATCH(C$1,'[2]Precios Históricos'!$B:$B,0),MATCH($A167,'[2]Precios Históricos'!$6:$6,0))</f>
        <v>1.26323282</v>
      </c>
      <c r="D167" s="11">
        <f>INDEX('[2]Precios Históricos'!$A:$AZ,MATCH(D$1,'[2]Precios Históricos'!$B:$B,0),MATCH($A167,'[2]Precios Históricos'!$6:$6,0))</f>
        <v>1.1193425800000001</v>
      </c>
      <c r="E167" s="11">
        <f>INDEX('[2]Precios Históricos'!$A:$AZ,MATCH(E$1,'[2]Precios Históricos'!$B:$B,0),MATCH($A167,'[2]Precios Históricos'!$6:$6,0))</f>
        <v>1.5252739099999999</v>
      </c>
      <c r="F167" s="11">
        <f>INDEX('[2]Precios Históricos'!$A:$AZ,MATCH(F$1,'[2]Precios Históricos'!$B:$B,0),MATCH($A167,'[2]Precios Históricos'!$6:$6,0))</f>
        <v>1.3035093099999999</v>
      </c>
      <c r="G167" s="11">
        <f>INDEX('[2]Precios Históricos'!$A:$AZ,MATCH(G$1,'[2]Precios Históricos'!$B:$B,0),MATCH($A167,'[2]Precios Históricos'!$6:$6,0))</f>
        <v>1.3035093099999999</v>
      </c>
      <c r="H167" s="11">
        <f>INDEX('[2]Precios Históricos'!$A:$AZ,MATCH(H$1,'[2]Precios Históricos'!$B:$B,0),MATCH($A167,'[2]Precios Históricos'!$6:$6,0))</f>
        <v>1.0379849699999999</v>
      </c>
      <c r="I167" s="11">
        <f>INDEX('[2]Precios Históricos'!$A:$AZ,MATCH(I$1,'[2]Precios Históricos'!$B:$B,0),MATCH($A167,'[2]Precios Históricos'!$6:$6,0))</f>
        <v>1.26960213</v>
      </c>
      <c r="J167" s="11">
        <f>INDEX('[2]Precios Históricos'!$A:$AZ,MATCH(J$1,'[2]Precios Históricos'!$B:$B,0),MATCH($A167,'[2]Precios Históricos'!$6:$6,0))</f>
        <v>1.2678373000000001</v>
      </c>
      <c r="K167" s="11">
        <f>INDEX('[2]Precios Históricos'!$A:$AZ,MATCH(K$1,'[2]Precios Históricos'!$B:$B,0),MATCH($A167,'[2]Precios Históricos'!$6:$6,0))</f>
        <v>1.38344445</v>
      </c>
      <c r="L167" s="11">
        <f>INDEX('[2]Precios Históricos'!$A:$AZ,MATCH(L$1,'[2]Precios Históricos'!$B:$B,0),MATCH($A167,'[2]Precios Históricos'!$6:$6,0))</f>
        <v>1.31171438</v>
      </c>
      <c r="M167" s="11">
        <f>INDEX('[2]Precios Históricos'!$A:$AZ,MATCH(M$1,'[2]Precios Históricos'!$B:$B,0),MATCH($A167,'[2]Precios Históricos'!$6:$6,0))</f>
        <v>4.15149597</v>
      </c>
      <c r="N167" s="11">
        <f>INDEX('[2]Precios Históricos'!$A:$AZ,MATCH(N$1,'[2]Precios Históricos'!$B:$B,0),MATCH($A167,'[2]Precios Históricos'!$6:$6,0))</f>
        <v>1.2895944800000001</v>
      </c>
      <c r="O167" s="11">
        <f>INDEX('[2]Precios Históricos'!$A:$AZ,MATCH(O$1,'[2]Precios Históricos'!$B:$B,0),MATCH($A167,'[2]Precios Históricos'!$6:$6,0))</f>
        <v>1.2865622699999999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7" sqref="B437"/>
    </sheetView>
  </sheetViews>
  <sheetFormatPr baseColWidth="10" defaultRowHeight="14.4" x14ac:dyDescent="0.3"/>
  <cols>
    <col min="1" max="1" width="11.44140625" style="2"/>
    <col min="2" max="2" width="11.44140625" style="3"/>
  </cols>
  <sheetData>
    <row r="1" spans="1:2" x14ac:dyDescent="0.3">
      <c r="A1" s="2" t="s">
        <v>2</v>
      </c>
      <c r="B1" s="3" t="s">
        <v>1</v>
      </c>
    </row>
    <row r="2" spans="1:2" x14ac:dyDescent="0.3">
      <c r="A2" s="2">
        <v>45659</v>
      </c>
      <c r="B2" s="3">
        <v>34.3125</v>
      </c>
    </row>
    <row r="3" spans="1:2" x14ac:dyDescent="0.3">
      <c r="A3" s="2">
        <v>45660</v>
      </c>
      <c r="B3" s="3">
        <v>34.5</v>
      </c>
    </row>
    <row r="4" spans="1:2" x14ac:dyDescent="0.3">
      <c r="A4" s="2">
        <v>45663</v>
      </c>
      <c r="B4" s="3">
        <v>34.75</v>
      </c>
    </row>
    <row r="5" spans="1:2" x14ac:dyDescent="0.3">
      <c r="A5" s="2">
        <v>45664</v>
      </c>
      <c r="B5" s="3">
        <v>34.8125</v>
      </c>
    </row>
    <row r="6" spans="1:2" x14ac:dyDescent="0.3">
      <c r="A6" s="2">
        <v>45665</v>
      </c>
      <c r="B6" s="3">
        <v>33.9375</v>
      </c>
    </row>
    <row r="7" spans="1:2" x14ac:dyDescent="0.3">
      <c r="A7" s="2">
        <v>45666</v>
      </c>
      <c r="B7" s="3">
        <v>34.1875</v>
      </c>
    </row>
    <row r="8" spans="1:2" x14ac:dyDescent="0.3">
      <c r="A8" s="2">
        <v>45667</v>
      </c>
      <c r="B8" s="3">
        <v>34.1875</v>
      </c>
    </row>
    <row r="9" spans="1:2" x14ac:dyDescent="0.3">
      <c r="A9" s="2">
        <v>45670</v>
      </c>
      <c r="B9" s="3">
        <v>34.25</v>
      </c>
    </row>
    <row r="10" spans="1:2" x14ac:dyDescent="0.3">
      <c r="A10" s="2">
        <v>45671</v>
      </c>
      <c r="B10" s="3">
        <v>34.5625</v>
      </c>
    </row>
    <row r="11" spans="1:2" x14ac:dyDescent="0.3">
      <c r="A11" s="2">
        <v>45672</v>
      </c>
      <c r="B11" s="3">
        <v>32.875</v>
      </c>
    </row>
    <row r="12" spans="1:2" x14ac:dyDescent="0.3">
      <c r="A12" s="2">
        <v>45673</v>
      </c>
      <c r="B12" s="3">
        <v>33.1875</v>
      </c>
    </row>
    <row r="13" spans="1:2" x14ac:dyDescent="0.3">
      <c r="A13" s="2">
        <v>45674</v>
      </c>
      <c r="B13" s="3">
        <v>32.5625</v>
      </c>
    </row>
    <row r="14" spans="1:2" x14ac:dyDescent="0.3">
      <c r="A14" s="2">
        <v>45677</v>
      </c>
      <c r="B14" s="3">
        <v>32.8125</v>
      </c>
    </row>
    <row r="15" spans="1:2" x14ac:dyDescent="0.3">
      <c r="A15" s="2">
        <v>45678</v>
      </c>
      <c r="B15" s="3">
        <v>33.1875</v>
      </c>
    </row>
    <row r="16" spans="1:2" x14ac:dyDescent="0.3">
      <c r="A16" s="2">
        <v>45679</v>
      </c>
      <c r="B16" s="3">
        <v>33.1875</v>
      </c>
    </row>
    <row r="17" spans="1:2" x14ac:dyDescent="0.3">
      <c r="A17" s="2">
        <v>45680</v>
      </c>
      <c r="B17" s="3">
        <v>33.3125</v>
      </c>
    </row>
    <row r="18" spans="1:2" x14ac:dyDescent="0.3">
      <c r="A18" s="2">
        <v>45681</v>
      </c>
      <c r="B18" s="3">
        <v>33.9375</v>
      </c>
    </row>
    <row r="19" spans="1:2" x14ac:dyDescent="0.3">
      <c r="A19" s="2">
        <v>45684</v>
      </c>
      <c r="B19" s="3">
        <v>32.75</v>
      </c>
    </row>
    <row r="20" spans="1:2" x14ac:dyDescent="0.3">
      <c r="A20" s="2">
        <v>45685</v>
      </c>
      <c r="B20" s="3">
        <v>33.875</v>
      </c>
    </row>
    <row r="21" spans="1:2" x14ac:dyDescent="0.3">
      <c r="A21" s="2">
        <v>45686</v>
      </c>
      <c r="B21" s="3">
        <v>33.8125</v>
      </c>
    </row>
    <row r="22" spans="1:2" x14ac:dyDescent="0.3">
      <c r="A22" s="2">
        <v>45687</v>
      </c>
      <c r="B22" s="3">
        <v>33.5</v>
      </c>
    </row>
    <row r="23" spans="1:2" x14ac:dyDescent="0.3">
      <c r="A23" s="2">
        <v>45688</v>
      </c>
      <c r="B23" s="3">
        <v>30.625</v>
      </c>
    </row>
    <row r="24" spans="1:2" x14ac:dyDescent="0.3">
      <c r="A24" s="2">
        <v>45691</v>
      </c>
      <c r="B24" s="3">
        <v>30.4375</v>
      </c>
    </row>
    <row r="25" spans="1:2" x14ac:dyDescent="0.3">
      <c r="A25" s="2">
        <v>45692</v>
      </c>
      <c r="B25" s="3">
        <v>30.6875</v>
      </c>
    </row>
    <row r="26" spans="1:2" x14ac:dyDescent="0.3">
      <c r="A26" s="2">
        <v>45693</v>
      </c>
      <c r="B26" s="3">
        <v>30.8125</v>
      </c>
    </row>
    <row r="27" spans="1:2" x14ac:dyDescent="0.3">
      <c r="A27" s="2">
        <v>45694</v>
      </c>
      <c r="B27" s="3">
        <v>30.625</v>
      </c>
    </row>
    <row r="28" spans="1:2" x14ac:dyDescent="0.3">
      <c r="A28" s="2">
        <v>45695</v>
      </c>
      <c r="B28" s="3">
        <v>30.5</v>
      </c>
    </row>
    <row r="29" spans="1:2" x14ac:dyDescent="0.3">
      <c r="A29" s="2">
        <v>45698</v>
      </c>
      <c r="B29" s="3">
        <v>30.4375</v>
      </c>
    </row>
    <row r="30" spans="1:2" x14ac:dyDescent="0.3">
      <c r="A30" s="2">
        <v>45699</v>
      </c>
      <c r="B30" s="3">
        <v>30.375</v>
      </c>
    </row>
    <row r="31" spans="1:2" x14ac:dyDescent="0.3">
      <c r="A31" s="2">
        <v>45700</v>
      </c>
      <c r="B31" s="3">
        <v>30.1875</v>
      </c>
    </row>
    <row r="32" spans="1:2" x14ac:dyDescent="0.3">
      <c r="A32" s="2">
        <v>45701</v>
      </c>
      <c r="B32" s="3">
        <v>30.25</v>
      </c>
    </row>
    <row r="33" spans="1:2" x14ac:dyDescent="0.3">
      <c r="A33" s="2">
        <v>45702</v>
      </c>
      <c r="B33" s="3">
        <v>30.1875</v>
      </c>
    </row>
    <row r="34" spans="1:2" x14ac:dyDescent="0.3">
      <c r="A34" s="2">
        <v>45705</v>
      </c>
      <c r="B34" s="3">
        <v>30.3125</v>
      </c>
    </row>
    <row r="35" spans="1:2" x14ac:dyDescent="0.3">
      <c r="A35" s="2">
        <v>45706</v>
      </c>
      <c r="B35" s="3">
        <v>30.125</v>
      </c>
    </row>
    <row r="36" spans="1:2" x14ac:dyDescent="0.3">
      <c r="A36" s="2">
        <v>45707</v>
      </c>
      <c r="B36" s="3">
        <v>29.9375</v>
      </c>
    </row>
    <row r="37" spans="1:2" x14ac:dyDescent="0.3">
      <c r="A37" s="2">
        <v>45708</v>
      </c>
      <c r="B37" s="3">
        <v>28.25</v>
      </c>
    </row>
    <row r="38" spans="1:2" x14ac:dyDescent="0.3">
      <c r="A38" s="2">
        <v>45709</v>
      </c>
      <c r="B38" s="3">
        <v>29.4375</v>
      </c>
    </row>
    <row r="39" spans="1:2" x14ac:dyDescent="0.3">
      <c r="A39" s="2">
        <v>45712</v>
      </c>
      <c r="B39" s="3">
        <v>29.0625</v>
      </c>
    </row>
    <row r="40" spans="1:2" x14ac:dyDescent="0.3">
      <c r="A40" s="2">
        <v>45713</v>
      </c>
      <c r="B40" s="3">
        <v>29.0625</v>
      </c>
    </row>
    <row r="41" spans="1:2" x14ac:dyDescent="0.3">
      <c r="A41" s="2">
        <v>45714</v>
      </c>
      <c r="B41" s="3">
        <v>29.375</v>
      </c>
    </row>
    <row r="42" spans="1:2" x14ac:dyDescent="0.3">
      <c r="A42" s="2">
        <v>45715</v>
      </c>
      <c r="B42" s="3">
        <v>29.5625</v>
      </c>
    </row>
    <row r="43" spans="1:2" x14ac:dyDescent="0.3">
      <c r="A43" s="2">
        <v>45716</v>
      </c>
      <c r="B43" s="3">
        <v>29.625</v>
      </c>
    </row>
    <row r="44" spans="1:2" x14ac:dyDescent="0.3">
      <c r="A44" s="2">
        <v>45721</v>
      </c>
      <c r="B44" s="3">
        <v>29.5625</v>
      </c>
    </row>
    <row r="45" spans="1:2" x14ac:dyDescent="0.3">
      <c r="A45" s="2">
        <v>45722</v>
      </c>
      <c r="B45" s="3">
        <v>29.8125</v>
      </c>
    </row>
    <row r="46" spans="1:2" x14ac:dyDescent="0.3">
      <c r="A46" s="2">
        <v>45723</v>
      </c>
      <c r="B46" s="3">
        <v>29.875</v>
      </c>
    </row>
    <row r="47" spans="1:2" x14ac:dyDescent="0.3">
      <c r="A47" s="2">
        <v>45726</v>
      </c>
      <c r="B47" s="3">
        <v>29.875</v>
      </c>
    </row>
    <row r="48" spans="1:2" x14ac:dyDescent="0.3">
      <c r="A48" s="2">
        <v>45727</v>
      </c>
      <c r="B48" s="3">
        <v>29.9375</v>
      </c>
    </row>
    <row r="49" spans="1:2" x14ac:dyDescent="0.3">
      <c r="A49" s="2">
        <v>45728</v>
      </c>
      <c r="B49" s="3">
        <v>30.125</v>
      </c>
    </row>
    <row r="50" spans="1:2" x14ac:dyDescent="0.3">
      <c r="A50" s="2">
        <v>45729</v>
      </c>
      <c r="B50" s="3">
        <v>30.1875</v>
      </c>
    </row>
    <row r="51" spans="1:2" x14ac:dyDescent="0.3">
      <c r="A51" s="2">
        <v>45730</v>
      </c>
      <c r="B51" s="3">
        <v>30.625</v>
      </c>
    </row>
    <row r="52" spans="1:2" x14ac:dyDescent="0.3">
      <c r="A52" s="2">
        <v>45733</v>
      </c>
      <c r="B52" s="3">
        <v>30.8125</v>
      </c>
    </row>
    <row r="53" spans="1:2" x14ac:dyDescent="0.3">
      <c r="A53" s="2">
        <v>45734</v>
      </c>
      <c r="B53" s="3">
        <v>31.0625</v>
      </c>
    </row>
    <row r="54" spans="1:2" x14ac:dyDescent="0.3">
      <c r="A54" s="2">
        <v>45735</v>
      </c>
      <c r="B54" s="3">
        <v>31.375</v>
      </c>
    </row>
    <row r="55" spans="1:2" x14ac:dyDescent="0.3">
      <c r="A55" s="2">
        <v>45736</v>
      </c>
      <c r="B55" s="3">
        <v>31.625</v>
      </c>
    </row>
    <row r="56" spans="1:2" x14ac:dyDescent="0.3">
      <c r="A56" s="2">
        <v>45737</v>
      </c>
      <c r="B56" s="3">
        <v>31.5</v>
      </c>
    </row>
    <row r="57" spans="1:2" x14ac:dyDescent="0.3">
      <c r="A57" s="2">
        <v>45741</v>
      </c>
      <c r="B57" s="3">
        <v>31.3125</v>
      </c>
    </row>
    <row r="58" spans="1:2" x14ac:dyDescent="0.3">
      <c r="A58" s="2">
        <v>45742</v>
      </c>
      <c r="B58" s="3">
        <v>31.875</v>
      </c>
    </row>
    <row r="59" spans="1:2" x14ac:dyDescent="0.3">
      <c r="A59" s="2">
        <v>45743</v>
      </c>
      <c r="B59" s="3">
        <v>31.6875</v>
      </c>
    </row>
    <row r="60" spans="1:2" x14ac:dyDescent="0.3">
      <c r="A60" s="2">
        <v>45744</v>
      </c>
      <c r="B60" s="3">
        <v>31.875</v>
      </c>
    </row>
    <row r="61" spans="1:2" x14ac:dyDescent="0.3">
      <c r="A61" s="2">
        <v>45747</v>
      </c>
      <c r="B61" s="3">
        <v>32.0625</v>
      </c>
    </row>
    <row r="62" spans="1:2" x14ac:dyDescent="0.3">
      <c r="A62" s="2">
        <v>45748</v>
      </c>
      <c r="B62" s="3">
        <v>32.625</v>
      </c>
    </row>
    <row r="63" spans="1:2" x14ac:dyDescent="0.3">
      <c r="A63" s="2">
        <v>45750</v>
      </c>
      <c r="B63" s="3">
        <v>32.9375</v>
      </c>
    </row>
    <row r="64" spans="1:2" x14ac:dyDescent="0.3">
      <c r="A64" s="2">
        <v>45751</v>
      </c>
      <c r="B64" s="3">
        <v>32.4375</v>
      </c>
    </row>
    <row r="65" spans="1:2" x14ac:dyDescent="0.3">
      <c r="A65" s="2">
        <v>45754</v>
      </c>
      <c r="B65" s="3">
        <v>33.25</v>
      </c>
    </row>
    <row r="66" spans="1:2" x14ac:dyDescent="0.3">
      <c r="A66" s="2">
        <v>45755</v>
      </c>
      <c r="B66" s="3">
        <v>32.8125</v>
      </c>
    </row>
    <row r="67" spans="1:2" x14ac:dyDescent="0.3">
      <c r="A67" s="2">
        <v>45756</v>
      </c>
      <c r="B67" s="3">
        <v>32.875</v>
      </c>
    </row>
    <row r="68" spans="1:2" x14ac:dyDescent="0.3">
      <c r="A68" s="2">
        <v>45757</v>
      </c>
      <c r="B68" s="3">
        <v>33.875</v>
      </c>
    </row>
    <row r="69" spans="1:2" x14ac:dyDescent="0.3">
      <c r="A69" s="2">
        <v>45758</v>
      </c>
      <c r="B69" s="3">
        <v>34.1875</v>
      </c>
    </row>
    <row r="70" spans="1:2" x14ac:dyDescent="0.3">
      <c r="A70" s="2">
        <v>45761</v>
      </c>
      <c r="B70" s="3">
        <v>39.1875</v>
      </c>
    </row>
    <row r="71" spans="1:2" x14ac:dyDescent="0.3">
      <c r="A71" s="2">
        <v>45762</v>
      </c>
      <c r="B71" s="3">
        <v>36.5</v>
      </c>
    </row>
    <row r="72" spans="1:2" x14ac:dyDescent="0.3">
      <c r="A72" s="2">
        <v>45763</v>
      </c>
      <c r="B72" s="3">
        <v>39.125</v>
      </c>
    </row>
    <row r="73" spans="1:2" x14ac:dyDescent="0.3">
      <c r="A73" s="2">
        <v>45768</v>
      </c>
      <c r="B73" s="3">
        <v>36.5</v>
      </c>
    </row>
    <row r="74" spans="1:2" x14ac:dyDescent="0.3">
      <c r="A74" s="2">
        <v>45769</v>
      </c>
      <c r="B74" s="3">
        <v>35.6875</v>
      </c>
    </row>
    <row r="75" spans="1:2" x14ac:dyDescent="0.3">
      <c r="A75" s="2">
        <v>45770</v>
      </c>
      <c r="B75" s="3">
        <v>35.625</v>
      </c>
    </row>
    <row r="76" spans="1:2" x14ac:dyDescent="0.3">
      <c r="A76" s="2">
        <v>45771</v>
      </c>
      <c r="B76" s="3">
        <v>35.0625</v>
      </c>
    </row>
    <row r="77" spans="1:2" x14ac:dyDescent="0.3">
      <c r="A77" s="2">
        <v>45772</v>
      </c>
      <c r="B77" s="3">
        <v>34.875</v>
      </c>
    </row>
    <row r="78" spans="1:2" x14ac:dyDescent="0.3">
      <c r="A78" s="2">
        <v>45775</v>
      </c>
      <c r="B78" s="3">
        <v>34.8125</v>
      </c>
    </row>
    <row r="79" spans="1:2" x14ac:dyDescent="0.3">
      <c r="A79" s="2">
        <v>45776</v>
      </c>
      <c r="B79" s="3">
        <v>34.0625</v>
      </c>
    </row>
    <row r="80" spans="1:2" x14ac:dyDescent="0.3">
      <c r="A80" s="2">
        <v>45777</v>
      </c>
      <c r="B80" s="3">
        <v>34.625</v>
      </c>
    </row>
    <row r="81" spans="1:2" x14ac:dyDescent="0.3">
      <c r="A81" s="2">
        <v>45782</v>
      </c>
      <c r="B81" s="3">
        <v>33.4375</v>
      </c>
    </row>
    <row r="82" spans="1:2" x14ac:dyDescent="0.3">
      <c r="A82" s="2">
        <v>45783</v>
      </c>
      <c r="B82" s="3">
        <v>35.3125</v>
      </c>
    </row>
    <row r="83" spans="1:2" x14ac:dyDescent="0.3">
      <c r="A83" s="2">
        <v>45784</v>
      </c>
      <c r="B83" s="3">
        <v>34.8125</v>
      </c>
    </row>
    <row r="84" spans="1:2" x14ac:dyDescent="0.3">
      <c r="A84" s="2">
        <v>45785</v>
      </c>
      <c r="B84" s="3">
        <v>34.5</v>
      </c>
    </row>
    <row r="85" spans="1:2" x14ac:dyDescent="0.3">
      <c r="A85" s="2">
        <v>45786</v>
      </c>
      <c r="B85" s="3">
        <v>34.25</v>
      </c>
    </row>
    <row r="86" spans="1:2" x14ac:dyDescent="0.3">
      <c r="A86" s="2">
        <v>45789</v>
      </c>
      <c r="B86" s="3">
        <v>33.8125</v>
      </c>
    </row>
    <row r="87" spans="1:2" x14ac:dyDescent="0.3">
      <c r="A87" s="2">
        <v>45790</v>
      </c>
      <c r="B87" s="3">
        <v>34.875</v>
      </c>
    </row>
    <row r="88" spans="1:2" x14ac:dyDescent="0.3">
      <c r="A88" s="2">
        <v>45791</v>
      </c>
      <c r="B88" s="3">
        <v>34.5</v>
      </c>
    </row>
    <row r="89" spans="1:2" x14ac:dyDescent="0.3">
      <c r="A89" s="2">
        <v>45792</v>
      </c>
      <c r="B89" s="3">
        <v>34.5625</v>
      </c>
    </row>
    <row r="90" spans="1:2" x14ac:dyDescent="0.3">
      <c r="A90" s="2">
        <v>45793</v>
      </c>
      <c r="B90" s="3">
        <v>32.0625</v>
      </c>
    </row>
    <row r="91" spans="1:2" x14ac:dyDescent="0.3">
      <c r="A91" s="2">
        <v>45796</v>
      </c>
      <c r="B91" s="3">
        <v>34.6875</v>
      </c>
    </row>
    <row r="92" spans="1:2" x14ac:dyDescent="0.3">
      <c r="A92" s="2">
        <v>45797</v>
      </c>
      <c r="B92" s="3">
        <v>34.6875</v>
      </c>
    </row>
    <row r="93" spans="1:2" x14ac:dyDescent="0.3">
      <c r="A93" s="2">
        <v>45798</v>
      </c>
      <c r="B93" s="3">
        <v>34.125</v>
      </c>
    </row>
    <row r="94" spans="1:2" x14ac:dyDescent="0.3">
      <c r="A94" s="2">
        <v>45799</v>
      </c>
      <c r="B94" s="3">
        <v>34.0625</v>
      </c>
    </row>
    <row r="95" spans="1:2" x14ac:dyDescent="0.3">
      <c r="A95" s="2">
        <v>45800</v>
      </c>
      <c r="B95" s="3">
        <v>34.5625</v>
      </c>
    </row>
    <row r="96" spans="1:2" x14ac:dyDescent="0.3">
      <c r="A96" s="2">
        <v>45803</v>
      </c>
      <c r="B96" s="3">
        <v>33.6875</v>
      </c>
    </row>
    <row r="97" spans="1:2" x14ac:dyDescent="0.3">
      <c r="A97" s="2">
        <v>45804</v>
      </c>
      <c r="B97" s="3">
        <v>34.1875</v>
      </c>
    </row>
    <row r="98" spans="1:2" x14ac:dyDescent="0.3">
      <c r="A98" s="2">
        <v>45805</v>
      </c>
      <c r="B98" s="3">
        <v>33.875</v>
      </c>
    </row>
    <row r="99" spans="1:2" x14ac:dyDescent="0.3">
      <c r="A99" s="2">
        <v>45806</v>
      </c>
      <c r="B99" s="3">
        <v>34.0625</v>
      </c>
    </row>
    <row r="100" spans="1:2" x14ac:dyDescent="0.3">
      <c r="A100" s="2">
        <v>45807</v>
      </c>
      <c r="B100" s="3">
        <v>33.1875</v>
      </c>
    </row>
    <row r="101" spans="1:2" x14ac:dyDescent="0.3">
      <c r="A101" s="2">
        <v>45810</v>
      </c>
      <c r="B101" s="3">
        <v>34.25</v>
      </c>
    </row>
    <row r="102" spans="1:2" x14ac:dyDescent="0.3">
      <c r="A102" s="2">
        <v>45811</v>
      </c>
      <c r="B102" s="3">
        <v>34.4375</v>
      </c>
    </row>
    <row r="103" spans="1:2" x14ac:dyDescent="0.3">
      <c r="A103" s="2">
        <v>45812</v>
      </c>
      <c r="B103" s="3">
        <v>33</v>
      </c>
    </row>
    <row r="104" spans="1:2" x14ac:dyDescent="0.3">
      <c r="A104" s="2">
        <v>45813</v>
      </c>
      <c r="B104" s="3">
        <v>33.5625</v>
      </c>
    </row>
    <row r="105" spans="1:2" x14ac:dyDescent="0.3">
      <c r="A105" s="2">
        <v>45814</v>
      </c>
      <c r="B105" s="3">
        <v>34.0625</v>
      </c>
    </row>
    <row r="106" spans="1:2" x14ac:dyDescent="0.3">
      <c r="A106" s="2">
        <v>45817</v>
      </c>
      <c r="B106" s="3">
        <v>32.9375</v>
      </c>
    </row>
    <row r="107" spans="1:2" x14ac:dyDescent="0.3">
      <c r="A107" s="2">
        <v>45818</v>
      </c>
      <c r="B107" s="3">
        <v>34</v>
      </c>
    </row>
    <row r="108" spans="1:2" x14ac:dyDescent="0.3">
      <c r="A108" s="2">
        <v>45819</v>
      </c>
      <c r="B108" s="3">
        <v>33.75</v>
      </c>
    </row>
    <row r="109" spans="1:2" x14ac:dyDescent="0.3">
      <c r="A109" s="2">
        <v>45820</v>
      </c>
      <c r="B109" s="3">
        <v>33.8125</v>
      </c>
    </row>
    <row r="110" spans="1:2" x14ac:dyDescent="0.3">
      <c r="A110" s="2">
        <v>45821</v>
      </c>
      <c r="B110" s="3">
        <v>33.5625</v>
      </c>
    </row>
    <row r="111" spans="1:2" x14ac:dyDescent="0.3">
      <c r="A111" s="2">
        <v>45825</v>
      </c>
      <c r="B111" s="3">
        <v>33.9375</v>
      </c>
    </row>
    <row r="112" spans="1:2" x14ac:dyDescent="0.3">
      <c r="A112" s="2">
        <v>45826</v>
      </c>
      <c r="B112" s="3">
        <v>32.375</v>
      </c>
    </row>
    <row r="113" spans="1:2" x14ac:dyDescent="0.3">
      <c r="A113" s="2">
        <v>45827</v>
      </c>
      <c r="B113" s="3">
        <v>34.0625</v>
      </c>
    </row>
    <row r="114" spans="1:2" x14ac:dyDescent="0.3">
      <c r="A114" s="2">
        <v>45831</v>
      </c>
      <c r="B114" s="3">
        <v>33.25</v>
      </c>
    </row>
    <row r="115" spans="1:2" x14ac:dyDescent="0.3">
      <c r="A115" s="2">
        <v>45832</v>
      </c>
      <c r="B115" s="3">
        <v>34.25</v>
      </c>
    </row>
    <row r="116" spans="1:2" x14ac:dyDescent="0.3">
      <c r="A116" s="2">
        <v>45833</v>
      </c>
      <c r="B116" s="3">
        <v>34</v>
      </c>
    </row>
    <row r="117" spans="1:2" x14ac:dyDescent="0.3">
      <c r="A117" s="2">
        <v>45834</v>
      </c>
      <c r="B117" s="3">
        <v>33.25</v>
      </c>
    </row>
    <row r="118" spans="1:2" x14ac:dyDescent="0.3">
      <c r="A118" s="2">
        <v>45835</v>
      </c>
      <c r="B118" s="3">
        <v>34.3125</v>
      </c>
    </row>
    <row r="119" spans="1:2" x14ac:dyDescent="0.3">
      <c r="A119" s="2">
        <v>45838</v>
      </c>
      <c r="B119" s="3">
        <v>33.625</v>
      </c>
    </row>
    <row r="120" spans="1:2" x14ac:dyDescent="0.3">
      <c r="A120" s="2">
        <v>45839</v>
      </c>
      <c r="B120" s="3">
        <v>34.1875</v>
      </c>
    </row>
    <row r="121" spans="1:2" x14ac:dyDescent="0.3">
      <c r="A121" s="2">
        <v>45840</v>
      </c>
      <c r="B121" s="3">
        <v>34.1875</v>
      </c>
    </row>
    <row r="122" spans="1:2" x14ac:dyDescent="0.3">
      <c r="A122" s="2">
        <v>45841</v>
      </c>
      <c r="B122" s="3">
        <v>34.0625</v>
      </c>
    </row>
    <row r="123" spans="1:2" x14ac:dyDescent="0.3">
      <c r="A123" s="2">
        <v>45842</v>
      </c>
      <c r="B123" s="3">
        <v>33.75</v>
      </c>
    </row>
    <row r="124" spans="1:2" x14ac:dyDescent="0.3">
      <c r="A124" s="2">
        <v>45845</v>
      </c>
      <c r="B124" s="3">
        <v>33.625</v>
      </c>
    </row>
    <row r="125" spans="1:2" x14ac:dyDescent="0.3">
      <c r="A125" s="2">
        <v>45846</v>
      </c>
      <c r="B125" s="3">
        <v>33.5</v>
      </c>
    </row>
    <row r="126" spans="1:2" x14ac:dyDescent="0.3">
      <c r="A126" s="2">
        <v>45848</v>
      </c>
      <c r="B126" s="3">
        <v>32.8125</v>
      </c>
    </row>
    <row r="127" spans="1:2" x14ac:dyDescent="0.3">
      <c r="A127" s="2">
        <v>45849</v>
      </c>
      <c r="B127" s="3">
        <v>31.125</v>
      </c>
    </row>
    <row r="128" spans="1:2" x14ac:dyDescent="0.3">
      <c r="A128" s="2">
        <v>45852</v>
      </c>
      <c r="B128" s="3">
        <v>29.1875</v>
      </c>
    </row>
    <row r="129" spans="1:2" x14ac:dyDescent="0.3">
      <c r="A129" s="2">
        <v>45853</v>
      </c>
      <c r="B129" s="3">
        <v>29.5</v>
      </c>
    </row>
    <row r="130" spans="1:2" x14ac:dyDescent="0.3">
      <c r="A130" s="2">
        <v>45854</v>
      </c>
      <c r="B130" s="3">
        <v>31.25</v>
      </c>
    </row>
    <row r="131" spans="1:2" x14ac:dyDescent="0.3">
      <c r="A131" s="2">
        <v>45855</v>
      </c>
      <c r="B131" s="3">
        <v>32.375</v>
      </c>
    </row>
    <row r="132" spans="1:2" x14ac:dyDescent="0.3">
      <c r="A132" s="2">
        <v>45856</v>
      </c>
      <c r="B132" s="3">
        <v>33.3125</v>
      </c>
    </row>
    <row r="133" spans="1:2" x14ac:dyDescent="0.3">
      <c r="A133" s="2">
        <v>45859</v>
      </c>
      <c r="B133" s="3">
        <v>34.1875</v>
      </c>
    </row>
    <row r="134" spans="1:2" x14ac:dyDescent="0.3">
      <c r="A134" s="2">
        <v>45860</v>
      </c>
      <c r="B134" s="3">
        <v>37.875</v>
      </c>
    </row>
    <row r="135" spans="1:2" x14ac:dyDescent="0.3">
      <c r="A135" s="2">
        <v>45861</v>
      </c>
      <c r="B135" s="3">
        <v>36.875</v>
      </c>
    </row>
    <row r="136" spans="1:2" x14ac:dyDescent="0.3">
      <c r="A136" s="2">
        <v>45862</v>
      </c>
      <c r="B136" s="3">
        <v>37</v>
      </c>
    </row>
    <row r="137" spans="1:2" x14ac:dyDescent="0.3">
      <c r="A137" s="2">
        <v>45863</v>
      </c>
      <c r="B137" s="3">
        <v>35.625</v>
      </c>
    </row>
    <row r="138" spans="1:2" x14ac:dyDescent="0.3">
      <c r="A138" s="2">
        <v>45866</v>
      </c>
      <c r="B138" s="3">
        <v>35.25</v>
      </c>
    </row>
    <row r="139" spans="1:2" x14ac:dyDescent="0.3">
      <c r="A139" s="2">
        <v>45867</v>
      </c>
      <c r="B139" s="3">
        <v>38</v>
      </c>
    </row>
    <row r="140" spans="1:2" x14ac:dyDescent="0.3">
      <c r="A140" s="2">
        <v>45868</v>
      </c>
      <c r="B140" s="3">
        <v>39.125</v>
      </c>
    </row>
    <row r="141" spans="1:2" x14ac:dyDescent="0.3">
      <c r="A141" s="2">
        <v>45869</v>
      </c>
      <c r="B141" s="3">
        <v>40.25</v>
      </c>
    </row>
    <row r="142" spans="1:2" x14ac:dyDescent="0.3">
      <c r="A142" s="2">
        <v>45870</v>
      </c>
      <c r="B142" s="3">
        <v>41.75</v>
      </c>
    </row>
    <row r="143" spans="1:2" x14ac:dyDescent="0.3">
      <c r="A143" s="2">
        <v>45873</v>
      </c>
      <c r="B143" s="3">
        <v>42.1875</v>
      </c>
    </row>
    <row r="144" spans="1:2" x14ac:dyDescent="0.3">
      <c r="A144" s="2">
        <v>45874</v>
      </c>
      <c r="B144" s="3">
        <v>42.625</v>
      </c>
    </row>
    <row r="145" spans="1:2" x14ac:dyDescent="0.3">
      <c r="A145" s="2">
        <v>45875</v>
      </c>
      <c r="B145" s="3">
        <v>41.75</v>
      </c>
    </row>
    <row r="146" spans="1:2" x14ac:dyDescent="0.3">
      <c r="A146" s="2">
        <v>45876</v>
      </c>
      <c r="B146" s="3">
        <v>43.75</v>
      </c>
    </row>
    <row r="147" spans="1:2" x14ac:dyDescent="0.3">
      <c r="A147" s="2">
        <v>45877</v>
      </c>
      <c r="B147" s="3">
        <v>45.375</v>
      </c>
    </row>
    <row r="148" spans="1:2" x14ac:dyDescent="0.3">
      <c r="A148" s="2">
        <v>45880</v>
      </c>
      <c r="B148" s="3">
        <v>47.75</v>
      </c>
    </row>
    <row r="149" spans="1:2" x14ac:dyDescent="0.3">
      <c r="A149" s="2">
        <v>45881</v>
      </c>
      <c r="B149" s="3">
        <v>49.75</v>
      </c>
    </row>
    <row r="150" spans="1:2" x14ac:dyDescent="0.3">
      <c r="A150" s="2">
        <v>45882</v>
      </c>
      <c r="B150" s="3">
        <v>49.9375</v>
      </c>
    </row>
    <row r="151" spans="1:2" x14ac:dyDescent="0.3">
      <c r="A151" s="2">
        <v>45883</v>
      </c>
      <c r="B151" s="3">
        <v>52.5625</v>
      </c>
    </row>
    <row r="152" spans="1:2" x14ac:dyDescent="0.3">
      <c r="A152" s="2">
        <v>45887</v>
      </c>
      <c r="B152" s="3">
        <v>56.5625</v>
      </c>
    </row>
    <row r="153" spans="1:2" x14ac:dyDescent="0.3">
      <c r="A153" s="2">
        <v>45888</v>
      </c>
      <c r="B153" s="3">
        <v>58.3125</v>
      </c>
    </row>
    <row r="154" spans="1:2" x14ac:dyDescent="0.3">
      <c r="A154" s="2">
        <v>45889</v>
      </c>
      <c r="B154" s="3">
        <v>58.8125</v>
      </c>
    </row>
    <row r="155" spans="1:2" x14ac:dyDescent="0.3">
      <c r="A155" s="2">
        <v>45890</v>
      </c>
      <c r="B155" s="3">
        <v>59.25</v>
      </c>
    </row>
    <row r="156" spans="1:2" x14ac:dyDescent="0.3">
      <c r="A156" s="2">
        <v>45891</v>
      </c>
      <c r="B156" s="3">
        <v>59.8125</v>
      </c>
    </row>
    <row r="157" spans="1:2" x14ac:dyDescent="0.3">
      <c r="A157" s="2">
        <v>45894</v>
      </c>
      <c r="B157" s="3">
        <v>60.25</v>
      </c>
    </row>
    <row r="158" spans="1:2" x14ac:dyDescent="0.3">
      <c r="A158" s="2">
        <v>45895</v>
      </c>
      <c r="B158" s="3">
        <v>64.125</v>
      </c>
    </row>
    <row r="159" spans="1:2" x14ac:dyDescent="0.3">
      <c r="A159" s="2">
        <v>45896</v>
      </c>
      <c r="B159" s="3">
        <v>61.1875</v>
      </c>
    </row>
    <row r="160" spans="1:2" x14ac:dyDescent="0.3">
      <c r="A160" s="2">
        <v>45897</v>
      </c>
      <c r="B160" s="3">
        <v>66.125</v>
      </c>
    </row>
    <row r="161" spans="1:2" x14ac:dyDescent="0.3">
      <c r="A161" s="2">
        <v>45898</v>
      </c>
      <c r="B161" s="3">
        <v>66.1875</v>
      </c>
    </row>
    <row r="162" spans="1:2" x14ac:dyDescent="0.3">
      <c r="A162" s="2">
        <v>45901</v>
      </c>
      <c r="B162" s="3">
        <v>67</v>
      </c>
    </row>
    <row r="163" spans="1:2" x14ac:dyDescent="0.3">
      <c r="A163" s="2">
        <v>45902</v>
      </c>
      <c r="B163" s="3">
        <v>58.4375</v>
      </c>
    </row>
    <row r="164" spans="1:2" x14ac:dyDescent="0.3">
      <c r="A164" s="2">
        <v>45903</v>
      </c>
      <c r="B164" s="3">
        <v>66</v>
      </c>
    </row>
    <row r="165" spans="1:2" x14ac:dyDescent="0.3">
      <c r="A165" s="2">
        <v>45904</v>
      </c>
      <c r="B165" s="3">
        <v>65.9375</v>
      </c>
    </row>
    <row r="166" spans="1:2" x14ac:dyDescent="0.3">
      <c r="A166" s="2">
        <v>45905</v>
      </c>
      <c r="B166" s="3">
        <v>64.0625</v>
      </c>
    </row>
    <row r="167" spans="1:2" x14ac:dyDescent="0.3">
      <c r="A167" s="2">
        <v>45908</v>
      </c>
      <c r="B167" s="3">
        <v>63.5</v>
      </c>
    </row>
    <row r="168" spans="1:2" x14ac:dyDescent="0.3">
      <c r="A168" s="2">
        <v>45909</v>
      </c>
      <c r="B168" s="3">
        <v>64.9375</v>
      </c>
    </row>
    <row r="169" spans="1:2" x14ac:dyDescent="0.3">
      <c r="A169" s="2">
        <v>45910</v>
      </c>
      <c r="B169" s="3">
        <v>59</v>
      </c>
    </row>
    <row r="170" spans="1:2" x14ac:dyDescent="0.3">
      <c r="A170" s="2">
        <v>45911</v>
      </c>
      <c r="B170" s="3">
        <v>52.5</v>
      </c>
    </row>
    <row r="171" spans="1:2" x14ac:dyDescent="0.3">
      <c r="A171" s="2">
        <v>45912</v>
      </c>
      <c r="B171" s="3">
        <v>47.6875</v>
      </c>
    </row>
    <row r="172" spans="1:2" x14ac:dyDescent="0.3">
      <c r="A172" s="2">
        <v>45915</v>
      </c>
      <c r="B172" s="3">
        <v>45.9375</v>
      </c>
    </row>
    <row r="173" spans="1:2" x14ac:dyDescent="0.3">
      <c r="A173" s="2">
        <v>45916</v>
      </c>
      <c r="B173" s="3">
        <v>43.6875</v>
      </c>
    </row>
    <row r="174" spans="1:2" x14ac:dyDescent="0.3">
      <c r="A174" s="2">
        <v>45917</v>
      </c>
      <c r="B174" s="3">
        <v>45.125</v>
      </c>
    </row>
    <row r="175" spans="1:2" x14ac:dyDescent="0.3">
      <c r="A175" s="2">
        <v>45918</v>
      </c>
      <c r="B175" s="3">
        <v>46.375</v>
      </c>
    </row>
    <row r="176" spans="1:2" x14ac:dyDescent="0.3">
      <c r="A176" s="2">
        <v>45919</v>
      </c>
      <c r="B176" s="3">
        <v>47.5625</v>
      </c>
    </row>
    <row r="177" spans="1:2" x14ac:dyDescent="0.3">
      <c r="A177" s="2">
        <v>45922</v>
      </c>
      <c r="B177" s="3">
        <v>48.1875</v>
      </c>
    </row>
    <row r="178" spans="1:2" x14ac:dyDescent="0.3">
      <c r="A178" s="2">
        <v>45923</v>
      </c>
      <c r="B178" s="3">
        <v>48.8125</v>
      </c>
    </row>
    <row r="179" spans="1:2" x14ac:dyDescent="0.3">
      <c r="A179" s="2">
        <v>45924</v>
      </c>
      <c r="B179" s="3">
        <v>44.1875</v>
      </c>
    </row>
    <row r="180" spans="1:2" x14ac:dyDescent="0.3">
      <c r="A180" s="2">
        <v>45925</v>
      </c>
      <c r="B180" s="3">
        <v>41.625</v>
      </c>
    </row>
    <row r="181" spans="1:2" x14ac:dyDescent="0.3">
      <c r="A181" s="2">
        <v>45926</v>
      </c>
      <c r="B181" s="3">
        <v>41</v>
      </c>
    </row>
    <row r="182" spans="1:2" x14ac:dyDescent="0.3">
      <c r="A182" s="2">
        <v>45929</v>
      </c>
      <c r="B182" s="3">
        <v>41.5</v>
      </c>
    </row>
    <row r="183" spans="1:2" x14ac:dyDescent="0.3">
      <c r="A183" s="2">
        <v>45930</v>
      </c>
      <c r="B183" s="3">
        <v>42.375</v>
      </c>
    </row>
    <row r="184" spans="1:2" x14ac:dyDescent="0.3">
      <c r="A184" s="2">
        <v>45931</v>
      </c>
      <c r="B184" s="3">
        <v>42.875</v>
      </c>
    </row>
    <row r="185" spans="1:2" x14ac:dyDescent="0.3">
      <c r="A185" s="2">
        <v>45932</v>
      </c>
      <c r="B185" s="3">
        <v>42</v>
      </c>
    </row>
    <row r="186" spans="1:2" x14ac:dyDescent="0.3">
      <c r="A186" s="2">
        <v>45933</v>
      </c>
      <c r="B186" s="3">
        <v>44.125</v>
      </c>
    </row>
    <row r="187" spans="1:2" x14ac:dyDescent="0.3">
      <c r="A187" s="2">
        <v>45936</v>
      </c>
      <c r="B187" s="3">
        <v>44.75</v>
      </c>
    </row>
    <row r="188" spans="1:2" x14ac:dyDescent="0.3">
      <c r="A188" s="2">
        <v>45937</v>
      </c>
      <c r="B188" s="3">
        <v>47.125</v>
      </c>
    </row>
    <row r="189" spans="1:2" x14ac:dyDescent="0.3">
      <c r="A189" s="2">
        <v>45938</v>
      </c>
      <c r="B189" s="3">
        <v>50.1875</v>
      </c>
    </row>
    <row r="190" spans="1:2" x14ac:dyDescent="0.3">
      <c r="A190" s="2">
        <v>45939</v>
      </c>
      <c r="B190" s="3">
        <v>54.375</v>
      </c>
    </row>
    <row r="191" spans="1:2" x14ac:dyDescent="0.3">
      <c r="A191" s="2">
        <v>45940</v>
      </c>
      <c r="B191" s="3">
        <v>54.375</v>
      </c>
    </row>
    <row r="192" spans="1:2" x14ac:dyDescent="0.3">
      <c r="A192" s="2">
        <v>45943</v>
      </c>
      <c r="B192" s="3">
        <v>53.75</v>
      </c>
    </row>
    <row r="193" spans="1:2" x14ac:dyDescent="0.3">
      <c r="A193" s="2">
        <v>45944</v>
      </c>
      <c r="B193" s="3">
        <v>59.125</v>
      </c>
    </row>
    <row r="194" spans="1:2" x14ac:dyDescent="0.3">
      <c r="A194" s="2">
        <v>45945</v>
      </c>
      <c r="B194" s="3">
        <v>66</v>
      </c>
    </row>
    <row r="195" spans="1:2" x14ac:dyDescent="0.3">
      <c r="A195" s="2">
        <v>45946</v>
      </c>
      <c r="B195" s="3">
        <v>60.125</v>
      </c>
    </row>
    <row r="196" spans="1:2" x14ac:dyDescent="0.3">
      <c r="A196" s="2">
        <v>45947</v>
      </c>
      <c r="B196" s="3">
        <v>57.9375</v>
      </c>
    </row>
    <row r="197" spans="1:2" x14ac:dyDescent="0.3">
      <c r="A197" s="2">
        <v>45950</v>
      </c>
      <c r="B197" s="3">
        <v>53.0625</v>
      </c>
    </row>
    <row r="198" spans="1:2" x14ac:dyDescent="0.3">
      <c r="A198" s="2">
        <v>45951</v>
      </c>
      <c r="B198" s="3">
        <v>52.8125</v>
      </c>
    </row>
    <row r="199" spans="1:2" x14ac:dyDescent="0.3">
      <c r="A199" s="2">
        <v>45952</v>
      </c>
      <c r="B199" s="3">
        <v>53.6875</v>
      </c>
    </row>
    <row r="200" spans="1:2" x14ac:dyDescent="0.3">
      <c r="A200" s="2">
        <v>45953</v>
      </c>
      <c r="B200" s="3">
        <v>54.875</v>
      </c>
    </row>
    <row r="201" spans="1:2" x14ac:dyDescent="0.3">
      <c r="A201" s="2">
        <v>45954</v>
      </c>
      <c r="B201" s="3">
        <v>58.5</v>
      </c>
    </row>
    <row r="202" spans="1:2" x14ac:dyDescent="0.3">
      <c r="A202" s="2">
        <v>45957</v>
      </c>
      <c r="B202" s="3">
        <v>45.9375</v>
      </c>
    </row>
    <row r="203" spans="1:2" x14ac:dyDescent="0.3">
      <c r="A203" s="2">
        <v>45958</v>
      </c>
      <c r="B203" s="3">
        <v>49.1875</v>
      </c>
    </row>
    <row r="204" spans="1:2" x14ac:dyDescent="0.3">
      <c r="A204" s="2">
        <v>45959</v>
      </c>
      <c r="B204" s="3">
        <v>44.625</v>
      </c>
    </row>
    <row r="205" spans="1:2" x14ac:dyDescent="0.3">
      <c r="A205" s="2">
        <v>45960</v>
      </c>
      <c r="B205" s="3">
        <v>43.375</v>
      </c>
    </row>
    <row r="206" spans="1:2" x14ac:dyDescent="0.3">
      <c r="A206" s="2">
        <v>45961</v>
      </c>
      <c r="B206" s="3">
        <v>38.3125</v>
      </c>
    </row>
    <row r="207" spans="1:2" x14ac:dyDescent="0.3">
      <c r="A207" s="2">
        <v>45964</v>
      </c>
      <c r="B207" s="3">
        <v>36.75</v>
      </c>
    </row>
    <row r="208" spans="1:2" x14ac:dyDescent="0.3">
      <c r="A208" s="2">
        <v>45965</v>
      </c>
      <c r="B208" s="3">
        <v>37.5625</v>
      </c>
    </row>
    <row r="209" spans="1:2" x14ac:dyDescent="0.3">
      <c r="A209" s="2">
        <v>45966</v>
      </c>
      <c r="B209" s="3">
        <v>36.3125</v>
      </c>
    </row>
    <row r="210" spans="1:2" x14ac:dyDescent="0.3">
      <c r="A210" s="2">
        <v>45968</v>
      </c>
      <c r="B210" s="3">
        <v>34.8125</v>
      </c>
    </row>
    <row r="211" spans="1:2" x14ac:dyDescent="0.3">
      <c r="A211" s="2">
        <v>45971</v>
      </c>
      <c r="B211" s="3">
        <v>34.75</v>
      </c>
    </row>
    <row r="212" spans="1:2" x14ac:dyDescent="0.3">
      <c r="A212" s="2">
        <v>45972</v>
      </c>
      <c r="B212" s="3">
        <v>35</v>
      </c>
    </row>
    <row r="213" spans="1:2" x14ac:dyDescent="0.3">
      <c r="A213" s="2">
        <v>45973</v>
      </c>
      <c r="B213" s="3">
        <v>34.625</v>
      </c>
    </row>
    <row r="214" spans="1:2" x14ac:dyDescent="0.3">
      <c r="A214" s="2">
        <v>45974</v>
      </c>
      <c r="B214" s="3">
        <v>33.9375</v>
      </c>
    </row>
    <row r="215" spans="1:2" x14ac:dyDescent="0.3">
      <c r="A215" s="2">
        <v>45975</v>
      </c>
      <c r="B215" s="3">
        <v>33.4375</v>
      </c>
    </row>
    <row r="216" spans="1:2" x14ac:dyDescent="0.3">
      <c r="A216" s="2">
        <v>45978</v>
      </c>
      <c r="B216" s="3">
        <v>33</v>
      </c>
    </row>
    <row r="217" spans="1:2" x14ac:dyDescent="0.3">
      <c r="A217" s="2">
        <v>45979</v>
      </c>
      <c r="B217" s="3">
        <v>33.5</v>
      </c>
    </row>
    <row r="218" spans="1:2" x14ac:dyDescent="0.3">
      <c r="A218" s="2">
        <v>45980</v>
      </c>
      <c r="B218" s="3">
        <v>33.8125</v>
      </c>
    </row>
    <row r="219" spans="1:2" x14ac:dyDescent="0.3">
      <c r="A219" s="2">
        <v>45981</v>
      </c>
      <c r="B219" s="3">
        <v>31.6875</v>
      </c>
    </row>
    <row r="220" spans="1:2" x14ac:dyDescent="0.3">
      <c r="A220" s="2">
        <v>45986</v>
      </c>
      <c r="B220" s="3">
        <v>32.0625</v>
      </c>
    </row>
    <row r="221" spans="1:2" x14ac:dyDescent="0.3">
      <c r="A221" s="2">
        <v>45987</v>
      </c>
      <c r="B221" s="3">
        <v>31.6875</v>
      </c>
    </row>
    <row r="222" spans="1:2" x14ac:dyDescent="0.3">
      <c r="A222" s="2">
        <v>45988</v>
      </c>
      <c r="B222" s="3">
        <v>31.75</v>
      </c>
    </row>
    <row r="223" spans="1:2" x14ac:dyDescent="0.3">
      <c r="A223" s="2">
        <v>45989</v>
      </c>
      <c r="B223" s="3">
        <v>31.4375</v>
      </c>
    </row>
    <row r="224" spans="1:2" x14ac:dyDescent="0.3">
      <c r="A224" s="2">
        <v>45992</v>
      </c>
      <c r="B224" s="3">
        <v>30.9375</v>
      </c>
    </row>
    <row r="225" spans="1:2" x14ac:dyDescent="0.3">
      <c r="A225" s="2">
        <v>45993</v>
      </c>
      <c r="B225" s="3">
        <v>29.6875</v>
      </c>
    </row>
    <row r="226" spans="1:2" x14ac:dyDescent="0.3">
      <c r="A226" s="2">
        <v>45994</v>
      </c>
      <c r="B226" s="3">
        <v>27.8125</v>
      </c>
    </row>
    <row r="227" spans="1:2" x14ac:dyDescent="0.3">
      <c r="A227" s="2">
        <v>45995</v>
      </c>
      <c r="B227" s="3">
        <v>26.625</v>
      </c>
    </row>
    <row r="228" spans="1:2" x14ac:dyDescent="0.3">
      <c r="A228" s="2">
        <v>45996</v>
      </c>
      <c r="B228" s="3">
        <v>26.8125</v>
      </c>
    </row>
    <row r="229" spans="1:2" x14ac:dyDescent="0.3">
      <c r="A229" s="2">
        <v>46000</v>
      </c>
      <c r="B229" s="3">
        <v>26.4375</v>
      </c>
    </row>
    <row r="230" spans="1:2" x14ac:dyDescent="0.3">
      <c r="A230" s="2">
        <v>46001</v>
      </c>
      <c r="B230" s="3">
        <v>26.6875</v>
      </c>
    </row>
    <row r="231" spans="1:2" x14ac:dyDescent="0.3">
      <c r="A231" s="2">
        <v>46002</v>
      </c>
      <c r="B231" s="3">
        <v>26.75</v>
      </c>
    </row>
    <row r="232" spans="1:2" x14ac:dyDescent="0.3">
      <c r="A232" s="2">
        <v>46003</v>
      </c>
      <c r="B232" s="3">
        <v>26.75</v>
      </c>
    </row>
    <row r="233" spans="1:2" x14ac:dyDescent="0.3">
      <c r="A233" s="2">
        <v>46006</v>
      </c>
      <c r="B233" s="3">
        <v>26.75</v>
      </c>
    </row>
    <row r="234" spans="1:2" x14ac:dyDescent="0.3">
      <c r="A234" s="2">
        <v>46007</v>
      </c>
      <c r="B234" s="3">
        <v>27.125</v>
      </c>
    </row>
    <row r="235" spans="1:2" x14ac:dyDescent="0.3">
      <c r="A235" s="2">
        <v>46008</v>
      </c>
      <c r="B235" s="3">
        <v>27.375</v>
      </c>
    </row>
    <row r="236" spans="1:2" x14ac:dyDescent="0.3">
      <c r="A236" s="2">
        <v>46009</v>
      </c>
      <c r="B236" s="3">
        <v>27.3125</v>
      </c>
    </row>
    <row r="237" spans="1:2" x14ac:dyDescent="0.3">
      <c r="A237" s="2">
        <v>46010</v>
      </c>
      <c r="B237" s="3">
        <v>28.25</v>
      </c>
    </row>
    <row r="238" spans="1:2" x14ac:dyDescent="0.3">
      <c r="A238" s="2">
        <v>46013</v>
      </c>
      <c r="B238" s="3">
        <v>28.375</v>
      </c>
    </row>
    <row r="239" spans="1:2" x14ac:dyDescent="0.3">
      <c r="A239" s="2">
        <v>46014</v>
      </c>
      <c r="B239" s="3">
        <v>29.4375</v>
      </c>
    </row>
    <row r="240" spans="1:2" x14ac:dyDescent="0.3">
      <c r="A240" s="2">
        <v>46017</v>
      </c>
      <c r="B240" s="3">
        <v>28.6875</v>
      </c>
    </row>
    <row r="241" spans="1:3" x14ac:dyDescent="0.3">
      <c r="A241" s="2">
        <v>46020</v>
      </c>
      <c r="B241" s="3">
        <v>27.9375</v>
      </c>
    </row>
    <row r="242" spans="1:3" x14ac:dyDescent="0.3">
      <c r="A242" s="2">
        <v>46021</v>
      </c>
      <c r="B242" s="3">
        <v>28.875</v>
      </c>
    </row>
    <row r="243" spans="1:3" x14ac:dyDescent="0.3">
      <c r="A243" s="2">
        <v>46024</v>
      </c>
      <c r="B243" s="3">
        <v>29.375</v>
      </c>
    </row>
    <row r="244" spans="1:3" x14ac:dyDescent="0.3">
      <c r="A244" s="2">
        <v>46027</v>
      </c>
      <c r="B244" s="3">
        <v>28.75</v>
      </c>
    </row>
    <row r="245" spans="1:3" x14ac:dyDescent="0.3">
      <c r="A245" s="2">
        <v>46028</v>
      </c>
      <c r="B245" s="3">
        <v>29.375</v>
      </c>
    </row>
    <row r="246" spans="1:3" x14ac:dyDescent="0.3">
      <c r="A246" s="2">
        <v>46029</v>
      </c>
      <c r="B246" s="3">
        <v>31.75</v>
      </c>
    </row>
    <row r="247" spans="1:3" x14ac:dyDescent="0.3">
      <c r="A247" s="2">
        <v>46030</v>
      </c>
      <c r="B247" s="3">
        <v>33.125</v>
      </c>
    </row>
    <row r="248" spans="1:3" x14ac:dyDescent="0.3">
      <c r="A248" s="2">
        <v>46031</v>
      </c>
      <c r="B248" s="3">
        <v>32.625</v>
      </c>
    </row>
    <row r="249" spans="1:3" x14ac:dyDescent="0.3">
      <c r="A249" s="2">
        <v>46034</v>
      </c>
      <c r="B249" s="3">
        <v>32.4375</v>
      </c>
    </row>
    <row r="250" spans="1:3" x14ac:dyDescent="0.3">
      <c r="A250" s="2">
        <v>46035</v>
      </c>
      <c r="B250" s="3">
        <v>34.4375</v>
      </c>
    </row>
    <row r="251" spans="1:3" x14ac:dyDescent="0.3">
      <c r="A251" s="2">
        <v>46036</v>
      </c>
      <c r="B251" s="3">
        <v>34.9375</v>
      </c>
    </row>
    <row r="252" spans="1:3" x14ac:dyDescent="0.3">
      <c r="A252" s="2">
        <v>46037</v>
      </c>
      <c r="B252" s="3">
        <v>35.6875</v>
      </c>
    </row>
    <row r="253" spans="1:3" x14ac:dyDescent="0.3">
      <c r="A253" s="2">
        <v>46038</v>
      </c>
      <c r="B253" s="3">
        <v>35.5625</v>
      </c>
    </row>
    <row r="254" spans="1:3" x14ac:dyDescent="0.3">
      <c r="A254" s="2">
        <v>46041</v>
      </c>
      <c r="B254" s="3">
        <v>36.6875</v>
      </c>
    </row>
    <row r="255" spans="1:3" x14ac:dyDescent="0.3">
      <c r="A255" s="2">
        <v>46042</v>
      </c>
      <c r="B255" s="3">
        <v>36.6875</v>
      </c>
    </row>
    <row r="256" spans="1:3" x14ac:dyDescent="0.3">
      <c r="A256" s="2">
        <v>46043</v>
      </c>
      <c r="B256" s="3">
        <v>36.9375</v>
      </c>
      <c r="C256" t="s">
        <v>5</v>
      </c>
    </row>
    <row r="257" spans="1:3" x14ac:dyDescent="0.3">
      <c r="A257" s="2">
        <v>46044</v>
      </c>
      <c r="B257" s="3">
        <v>38.0625</v>
      </c>
    </row>
    <row r="258" spans="1:3" x14ac:dyDescent="0.3">
      <c r="A258" s="2">
        <v>46045</v>
      </c>
      <c r="B258" s="3">
        <v>37.8125</v>
      </c>
    </row>
    <row r="259" spans="1:3" x14ac:dyDescent="0.3">
      <c r="A259" s="2">
        <v>46048</v>
      </c>
      <c r="B259" s="3">
        <v>35.625</v>
      </c>
    </row>
    <row r="260" spans="1:3" x14ac:dyDescent="0.3">
      <c r="A260" s="2">
        <v>46049</v>
      </c>
      <c r="B260" s="3">
        <v>34.5</v>
      </c>
    </row>
    <row r="261" spans="1:3" x14ac:dyDescent="0.3">
      <c r="A261" s="2">
        <v>46050</v>
      </c>
      <c r="B261" s="3">
        <v>32.625</v>
      </c>
    </row>
    <row r="262" spans="1:3" x14ac:dyDescent="0.3">
      <c r="A262" s="2">
        <v>46051</v>
      </c>
      <c r="B262" s="3">
        <v>31.75</v>
      </c>
    </row>
    <row r="263" spans="1:3" x14ac:dyDescent="0.3">
      <c r="A263" s="2">
        <v>46052</v>
      </c>
      <c r="B263" s="3">
        <v>32.9375</v>
      </c>
      <c r="C263" t="s">
        <v>5</v>
      </c>
    </row>
    <row r="264" spans="1:3" x14ac:dyDescent="0.3">
      <c r="A264" s="2">
        <v>46055</v>
      </c>
      <c r="B264" s="3">
        <v>32.6875</v>
      </c>
    </row>
    <row r="265" spans="1:3" x14ac:dyDescent="0.3">
      <c r="A265" s="2">
        <v>46056</v>
      </c>
      <c r="B265" s="3">
        <v>34</v>
      </c>
    </row>
    <row r="266" spans="1:3" x14ac:dyDescent="0.3">
      <c r="A266" s="2">
        <v>46057</v>
      </c>
      <c r="B266" s="3">
        <v>32.5625</v>
      </c>
    </row>
    <row r="267" spans="1:3" x14ac:dyDescent="0.3">
      <c r="A267" s="2">
        <v>46058</v>
      </c>
      <c r="B267" s="3">
        <v>32.1875</v>
      </c>
    </row>
    <row r="268" spans="1:3" x14ac:dyDescent="0.3">
      <c r="A268" s="2">
        <v>46059</v>
      </c>
      <c r="B268" s="3">
        <v>31.8125</v>
      </c>
    </row>
    <row r="269" spans="1:3" x14ac:dyDescent="0.3">
      <c r="A269" s="2">
        <v>46062</v>
      </c>
      <c r="B269" s="3">
        <v>31.1875</v>
      </c>
    </row>
    <row r="270" spans="1:3" x14ac:dyDescent="0.3">
      <c r="A270" s="2">
        <v>46063</v>
      </c>
      <c r="B270" s="3">
        <v>31.375</v>
      </c>
    </row>
    <row r="271" spans="1:3" x14ac:dyDescent="0.3">
      <c r="A271" s="2">
        <v>46064</v>
      </c>
      <c r="B271" s="3">
        <v>31.5625</v>
      </c>
    </row>
    <row r="272" spans="1:3" x14ac:dyDescent="0.3">
      <c r="A272" s="2">
        <v>46065</v>
      </c>
      <c r="B272" s="3">
        <v>32.375</v>
      </c>
    </row>
    <row r="273" spans="1:2" x14ac:dyDescent="0.3">
      <c r="A273" s="2">
        <v>46066</v>
      </c>
      <c r="B273" s="3">
        <v>33.4375</v>
      </c>
    </row>
    <row r="274" spans="1:2" x14ac:dyDescent="0.3">
      <c r="A274" s="2">
        <v>46071</v>
      </c>
      <c r="B274" s="3">
        <v>33.6875</v>
      </c>
    </row>
    <row r="275" spans="1:2" x14ac:dyDescent="0.3">
      <c r="A275" s="2">
        <v>46072</v>
      </c>
      <c r="B275" s="3">
        <v>34.625</v>
      </c>
    </row>
    <row r="276" spans="1:2" x14ac:dyDescent="0.3">
      <c r="A276" s="2">
        <v>46073</v>
      </c>
      <c r="B276" s="3">
        <v>34.875</v>
      </c>
    </row>
    <row r="277" spans="1:2" x14ac:dyDescent="0.3">
      <c r="A277" s="2">
        <v>46076</v>
      </c>
      <c r="B277" s="3">
        <v>36.5</v>
      </c>
    </row>
    <row r="278" spans="1:2" x14ac:dyDescent="0.3">
      <c r="A278" s="2">
        <v>46077</v>
      </c>
      <c r="B278" s="3">
        <v>35.625</v>
      </c>
    </row>
    <row r="279" spans="1:2" x14ac:dyDescent="0.3">
      <c r="A279" s="2">
        <v>46078</v>
      </c>
      <c r="B279" s="3">
        <v>33.25</v>
      </c>
    </row>
    <row r="280" spans="1:2" x14ac:dyDescent="0.3">
      <c r="A280" s="2">
        <v>46079</v>
      </c>
      <c r="B280" s="3">
        <v>31.25</v>
      </c>
    </row>
    <row r="281" spans="1:2" x14ac:dyDescent="0.3">
      <c r="A281" s="2">
        <v>46080</v>
      </c>
      <c r="B281" s="3">
        <v>31.0625</v>
      </c>
    </row>
    <row r="282" spans="1:2" x14ac:dyDescent="0.3">
      <c r="A282" s="2">
        <v>46083</v>
      </c>
      <c r="B282" s="3">
        <v>30.75</v>
      </c>
    </row>
    <row r="283" spans="1:2" x14ac:dyDescent="0.3">
      <c r="A283" s="2">
        <v>46084</v>
      </c>
      <c r="B283" s="3">
        <v>31</v>
      </c>
    </row>
    <row r="284" spans="1:2" x14ac:dyDescent="0.3">
      <c r="A284" s="2">
        <v>46085</v>
      </c>
      <c r="B284" s="3">
        <v>31</v>
      </c>
    </row>
    <row r="285" spans="1:2" x14ac:dyDescent="0.3">
      <c r="A285" s="2">
        <v>46086</v>
      </c>
      <c r="B285" s="3">
        <v>31.25</v>
      </c>
    </row>
    <row r="286" spans="1:2" x14ac:dyDescent="0.3">
      <c r="A286" s="2">
        <v>46087</v>
      </c>
      <c r="B286" s="3">
        <v>30.875</v>
      </c>
    </row>
    <row r="287" spans="1:2" x14ac:dyDescent="0.3">
      <c r="A287" s="2">
        <v>46090</v>
      </c>
      <c r="B287" s="3">
        <v>30.875</v>
      </c>
    </row>
    <row r="288" spans="1:2" x14ac:dyDescent="0.3">
      <c r="A288" s="2">
        <v>46091</v>
      </c>
      <c r="B288" s="3">
        <v>31.0625</v>
      </c>
    </row>
    <row r="289" spans="1:2" x14ac:dyDescent="0.3">
      <c r="A289" s="2">
        <v>46092</v>
      </c>
      <c r="B289" s="3">
        <v>31</v>
      </c>
    </row>
    <row r="290" spans="1:2" x14ac:dyDescent="0.3">
      <c r="A290" s="2">
        <v>46093</v>
      </c>
      <c r="B290" s="3">
        <v>31</v>
      </c>
    </row>
    <row r="291" spans="1:2" x14ac:dyDescent="0.3">
      <c r="A291" s="2">
        <v>46094</v>
      </c>
      <c r="B291" s="3">
        <v>31.0625</v>
      </c>
    </row>
    <row r="292" spans="1:2" x14ac:dyDescent="0.3">
      <c r="A292" s="2">
        <v>46097</v>
      </c>
      <c r="B292" s="3">
        <v>30.625</v>
      </c>
    </row>
    <row r="293" spans="1:2" x14ac:dyDescent="0.3">
      <c r="A293" s="2">
        <v>46098</v>
      </c>
      <c r="B293" s="3">
        <v>28.8125</v>
      </c>
    </row>
    <row r="294" spans="1:2" x14ac:dyDescent="0.3">
      <c r="A294" s="2">
        <v>46099</v>
      </c>
      <c r="B294" s="3">
        <v>27.1875</v>
      </c>
    </row>
    <row r="295" spans="1:2" x14ac:dyDescent="0.3">
      <c r="A295" s="2">
        <v>46100</v>
      </c>
      <c r="B295" s="3">
        <v>26.5625</v>
      </c>
    </row>
    <row r="296" spans="1:2" x14ac:dyDescent="0.3">
      <c r="A296" s="2">
        <v>46101</v>
      </c>
      <c r="B296" s="3">
        <v>26.75</v>
      </c>
    </row>
    <row r="297" spans="1:2" x14ac:dyDescent="0.3">
      <c r="A297" s="2">
        <v>46106</v>
      </c>
      <c r="B297" s="3">
        <v>26.4375</v>
      </c>
    </row>
    <row r="298" spans="1:2" x14ac:dyDescent="0.3">
      <c r="A298" s="2">
        <v>46107</v>
      </c>
      <c r="B298" s="3">
        <v>26.3125</v>
      </c>
    </row>
    <row r="299" spans="1:2" x14ac:dyDescent="0.3">
      <c r="A299" s="2">
        <v>46108</v>
      </c>
      <c r="B299" s="3">
        <v>26.125</v>
      </c>
    </row>
    <row r="300" spans="1:2" x14ac:dyDescent="0.3">
      <c r="A300" s="2">
        <v>46111</v>
      </c>
      <c r="B300" s="3">
        <v>26.1875</v>
      </c>
    </row>
    <row r="301" spans="1:2" x14ac:dyDescent="0.3">
      <c r="A301" s="2">
        <v>46112</v>
      </c>
      <c r="B301" s="3">
        <v>26.3125</v>
      </c>
    </row>
    <row r="302" spans="1:2" x14ac:dyDescent="0.3">
      <c r="A302" s="2">
        <v>46113</v>
      </c>
      <c r="B302" s="3">
        <v>26.25</v>
      </c>
    </row>
    <row r="303" spans="1:2" x14ac:dyDescent="0.3">
      <c r="A303" s="2">
        <v>46118</v>
      </c>
      <c r="B303" s="3">
        <v>26.125</v>
      </c>
    </row>
    <row r="304" spans="1:2" x14ac:dyDescent="0.3">
      <c r="A304" s="2">
        <v>46119</v>
      </c>
      <c r="B304" s="3">
        <v>26.1875</v>
      </c>
    </row>
    <row r="305" spans="1:2" x14ac:dyDescent="0.3">
      <c r="A305" s="2">
        <v>46120</v>
      </c>
      <c r="B305" s="3">
        <v>25.625</v>
      </c>
    </row>
    <row r="306" spans="1:2" x14ac:dyDescent="0.3">
      <c r="A306" s="2">
        <v>46121</v>
      </c>
      <c r="B306" s="3">
        <v>23.4375</v>
      </c>
    </row>
    <row r="307" spans="1:2" x14ac:dyDescent="0.3">
      <c r="A307" s="2">
        <v>46122</v>
      </c>
      <c r="B307" s="3">
        <v>22.8125</v>
      </c>
    </row>
    <row r="308" spans="1:2" x14ac:dyDescent="0.3">
      <c r="A308" s="2">
        <v>46125</v>
      </c>
      <c r="B308" s="3">
        <v>22.5</v>
      </c>
    </row>
    <row r="309" spans="1:2" x14ac:dyDescent="0.3">
      <c r="A309" s="2">
        <v>46126</v>
      </c>
      <c r="B309" s="3">
        <v>23.0625</v>
      </c>
    </row>
    <row r="310" spans="1:2" x14ac:dyDescent="0.3">
      <c r="A310" s="2">
        <v>46127</v>
      </c>
      <c r="B310" s="3">
        <v>22.875</v>
      </c>
    </row>
    <row r="311" spans="1:2" x14ac:dyDescent="0.3">
      <c r="A311" s="2">
        <v>46128</v>
      </c>
      <c r="B311" s="3">
        <v>23.125</v>
      </c>
    </row>
    <row r="312" spans="1:2" x14ac:dyDescent="0.3">
      <c r="A312" s="2">
        <v>46129</v>
      </c>
      <c r="B312" s="3">
        <v>22.75</v>
      </c>
    </row>
    <row r="313" spans="1:2" x14ac:dyDescent="0.3">
      <c r="A313" s="2">
        <v>46132</v>
      </c>
      <c r="B313" s="3">
        <v>22.3125</v>
      </c>
    </row>
    <row r="314" spans="1:2" x14ac:dyDescent="0.3">
      <c r="A314" s="2">
        <v>46133</v>
      </c>
      <c r="B314" s="3">
        <v>22.4375</v>
      </c>
    </row>
    <row r="315" spans="1:2" x14ac:dyDescent="0.3">
      <c r="A315" s="2">
        <v>46134</v>
      </c>
      <c r="B315" s="3">
        <v>22.5</v>
      </c>
    </row>
    <row r="316" spans="1:2" x14ac:dyDescent="0.3">
      <c r="A316" s="2">
        <v>46135</v>
      </c>
      <c r="B316" s="3">
        <v>22.5625</v>
      </c>
    </row>
    <row r="317" spans="1:2" x14ac:dyDescent="0.3">
      <c r="A317" s="2">
        <v>46136</v>
      </c>
      <c r="B317" s="3">
        <v>22.4375</v>
      </c>
    </row>
    <row r="318" spans="1:2" x14ac:dyDescent="0.3">
      <c r="A318" s="2">
        <v>46139</v>
      </c>
      <c r="B318" s="3">
        <v>22.3125</v>
      </c>
    </row>
    <row r="319" spans="1:2" x14ac:dyDescent="0.3">
      <c r="A319" s="2">
        <v>46140</v>
      </c>
      <c r="B319" s="3">
        <v>22.625</v>
      </c>
    </row>
    <row r="320" spans="1:2" x14ac:dyDescent="0.3">
      <c r="A320" s="2">
        <v>46141</v>
      </c>
      <c r="B320" s="3">
        <v>22.625</v>
      </c>
    </row>
    <row r="321" spans="1:2" x14ac:dyDescent="0.3">
      <c r="A321" s="2">
        <v>46142</v>
      </c>
      <c r="B321" s="3">
        <v>23.125</v>
      </c>
    </row>
    <row r="322" spans="1:2" x14ac:dyDescent="0.3">
      <c r="A322" s="2">
        <v>46146</v>
      </c>
      <c r="B322" s="3">
        <v>23.125</v>
      </c>
    </row>
    <row r="323" spans="1:2" x14ac:dyDescent="0.3">
      <c r="A323" s="2">
        <v>46147</v>
      </c>
      <c r="B323" s="3">
        <v>23.4375</v>
      </c>
    </row>
    <row r="324" spans="1:2" x14ac:dyDescent="0.3">
      <c r="A324" s="2">
        <v>46148</v>
      </c>
      <c r="B324" s="3">
        <v>22.75</v>
      </c>
    </row>
    <row r="325" spans="1:2" x14ac:dyDescent="0.3">
      <c r="A325" s="2">
        <v>46149</v>
      </c>
      <c r="B325" s="3">
        <v>22.8125</v>
      </c>
    </row>
    <row r="326" spans="1:2" x14ac:dyDescent="0.3">
      <c r="A326" s="2">
        <v>46150</v>
      </c>
      <c r="B326" s="3">
        <v>22.5625</v>
      </c>
    </row>
    <row r="327" spans="1:2" x14ac:dyDescent="0.3">
      <c r="A327" s="2">
        <v>46153</v>
      </c>
      <c r="B327" s="3">
        <v>22.75</v>
      </c>
    </row>
    <row r="328" spans="1:2" x14ac:dyDescent="0.3">
      <c r="A328" s="2">
        <v>46154</v>
      </c>
      <c r="B328" s="3">
        <v>22.625</v>
      </c>
    </row>
    <row r="329" spans="1:2" x14ac:dyDescent="0.3">
      <c r="A329" s="2">
        <v>46155</v>
      </c>
      <c r="B329" s="3">
        <v>22.5</v>
      </c>
    </row>
    <row r="330" spans="1:2" x14ac:dyDescent="0.3">
      <c r="A330" s="2">
        <v>46156</v>
      </c>
      <c r="B330" s="3">
        <v>22.8125</v>
      </c>
    </row>
    <row r="331" spans="1:2" x14ac:dyDescent="0.3">
      <c r="A331" s="2">
        <v>46157</v>
      </c>
      <c r="B331" s="3">
        <v>22.8125</v>
      </c>
    </row>
    <row r="332" spans="1:2" x14ac:dyDescent="0.3">
      <c r="A332" s="2">
        <v>46160</v>
      </c>
      <c r="B332" s="3">
        <v>22.8125</v>
      </c>
    </row>
    <row r="333" spans="1:2" x14ac:dyDescent="0.3">
      <c r="A333" s="2">
        <v>46161</v>
      </c>
      <c r="B333" s="3">
        <v>22.9375</v>
      </c>
    </row>
    <row r="334" spans="1:2" x14ac:dyDescent="0.3">
      <c r="A334" s="2">
        <v>46162</v>
      </c>
      <c r="B334" s="3">
        <v>22.75</v>
      </c>
    </row>
    <row r="335" spans="1:2" x14ac:dyDescent="0.3">
      <c r="A335" s="2">
        <v>46163</v>
      </c>
      <c r="B335" s="3">
        <v>22.9375</v>
      </c>
    </row>
    <row r="336" spans="1:2" x14ac:dyDescent="0.3">
      <c r="A336" s="2">
        <v>46164</v>
      </c>
      <c r="B336" s="3">
        <v>22.9375</v>
      </c>
    </row>
    <row r="337" spans="1:2" x14ac:dyDescent="0.3">
      <c r="A337" s="2">
        <v>46168</v>
      </c>
      <c r="B337" s="3">
        <v>22.8125</v>
      </c>
    </row>
    <row r="338" spans="1:2" x14ac:dyDescent="0.3">
      <c r="A338" s="2">
        <v>46169</v>
      </c>
      <c r="B338" s="3">
        <v>22.8125</v>
      </c>
    </row>
    <row r="339" spans="1:2" x14ac:dyDescent="0.3">
      <c r="A339" s="2">
        <v>46170</v>
      </c>
      <c r="B339" s="3">
        <v>23</v>
      </c>
    </row>
    <row r="340" spans="1:2" x14ac:dyDescent="0.3">
      <c r="A340" s="2">
        <v>46171</v>
      </c>
      <c r="B340" s="3">
        <v>22.25</v>
      </c>
    </row>
    <row r="341" spans="1:2" x14ac:dyDescent="0.3">
      <c r="A341" s="2">
        <v>46174</v>
      </c>
      <c r="B341" s="3">
        <v>22.9375</v>
      </c>
    </row>
    <row r="342" spans="1:2" x14ac:dyDescent="0.3">
      <c r="A342" s="2">
        <v>46175</v>
      </c>
      <c r="B342" s="3">
        <v>22.75</v>
      </c>
    </row>
    <row r="343" spans="1:2" x14ac:dyDescent="0.3">
      <c r="A343" s="2">
        <v>46176</v>
      </c>
      <c r="B343" s="3">
        <v>22.125</v>
      </c>
    </row>
    <row r="344" spans="1:2" x14ac:dyDescent="0.3">
      <c r="A344" s="2">
        <v>46177</v>
      </c>
      <c r="B344" s="3">
        <v>22.25</v>
      </c>
    </row>
    <row r="345" spans="1:2" x14ac:dyDescent="0.3">
      <c r="A345" s="2">
        <v>46178</v>
      </c>
      <c r="B345" s="3">
        <v>21.8125</v>
      </c>
    </row>
    <row r="346" spans="1:2" x14ac:dyDescent="0.3">
      <c r="A346" s="2">
        <v>46181</v>
      </c>
      <c r="B346" s="3">
        <v>21.625</v>
      </c>
    </row>
    <row r="347" spans="1:2" x14ac:dyDescent="0.3">
      <c r="A347" s="2">
        <v>46182</v>
      </c>
      <c r="B347" s="3">
        <v>21.5</v>
      </c>
    </row>
    <row r="348" spans="1:2" x14ac:dyDescent="0.3">
      <c r="A348" s="2">
        <v>46183</v>
      </c>
      <c r="B348" s="3">
        <v>21.5625</v>
      </c>
    </row>
    <row r="349" spans="1:2" x14ac:dyDescent="0.3">
      <c r="A349" s="2">
        <v>46184</v>
      </c>
      <c r="B349" s="3">
        <v>21.5</v>
      </c>
    </row>
    <row r="350" spans="1:2" x14ac:dyDescent="0.3">
      <c r="A350" s="2">
        <v>46185</v>
      </c>
      <c r="B350" s="3">
        <v>21.375</v>
      </c>
    </row>
    <row r="351" spans="1:2" x14ac:dyDescent="0.3">
      <c r="A351" s="2">
        <v>46189</v>
      </c>
      <c r="B351" s="3">
        <v>21.75</v>
      </c>
    </row>
    <row r="352" spans="1:2" x14ac:dyDescent="0.3">
      <c r="A352" s="2">
        <v>46190</v>
      </c>
      <c r="B352" s="3">
        <v>21.9375</v>
      </c>
    </row>
    <row r="353" spans="1:2" x14ac:dyDescent="0.3">
      <c r="A353" s="2">
        <v>46191</v>
      </c>
      <c r="B353" s="3">
        <v>22.25</v>
      </c>
    </row>
    <row r="354" spans="1:2" x14ac:dyDescent="0.3">
      <c r="A354" s="2">
        <v>46192</v>
      </c>
      <c r="B354" s="3">
        <v>22.1875</v>
      </c>
    </row>
    <row r="355" spans="1:2" x14ac:dyDescent="0.3">
      <c r="A355" s="2">
        <v>46195</v>
      </c>
      <c r="B355" s="3">
        <v>22.375</v>
      </c>
    </row>
    <row r="356" spans="1:2" x14ac:dyDescent="0.3">
      <c r="A356" s="2">
        <v>46196</v>
      </c>
      <c r="B356" s="3">
        <v>22.5</v>
      </c>
    </row>
    <row r="357" spans="1:2" x14ac:dyDescent="0.3">
      <c r="A357" s="2">
        <v>46197</v>
      </c>
      <c r="B357" s="3">
        <v>22.25</v>
      </c>
    </row>
    <row r="358" spans="1:2" x14ac:dyDescent="0.3">
      <c r="A358" s="2">
        <v>46198</v>
      </c>
      <c r="B358" s="3">
        <v>22.8125</v>
      </c>
    </row>
    <row r="359" spans="1:2" x14ac:dyDescent="0.3">
      <c r="A359" s="2">
        <v>46199</v>
      </c>
      <c r="B359" s="3">
        <v>22.5625</v>
      </c>
    </row>
    <row r="360" spans="1:2" x14ac:dyDescent="0.3">
      <c r="A360" s="2">
        <v>46202</v>
      </c>
      <c r="B360" s="3">
        <v>22.9375</v>
      </c>
    </row>
    <row r="361" spans="1:2" x14ac:dyDescent="0.3">
      <c r="A361" s="2">
        <v>46203</v>
      </c>
      <c r="B361" s="3">
        <v>22.6875</v>
      </c>
    </row>
    <row r="362" spans="1:2" x14ac:dyDescent="0.3">
      <c r="A362" s="2">
        <v>46204</v>
      </c>
      <c r="B362" s="3">
        <v>22.1875</v>
      </c>
    </row>
    <row r="363" spans="1:2" x14ac:dyDescent="0.3">
      <c r="A363" s="2">
        <v>46205</v>
      </c>
      <c r="B363" s="3">
        <v>22.125</v>
      </c>
    </row>
    <row r="364" spans="1:2" x14ac:dyDescent="0.3">
      <c r="A364" s="2">
        <v>46206</v>
      </c>
      <c r="B364" s="3">
        <v>21.875</v>
      </c>
    </row>
    <row r="365" spans="1:2" x14ac:dyDescent="0.3">
      <c r="A365" s="2">
        <v>46209</v>
      </c>
      <c r="B365" s="3">
        <v>21.9375</v>
      </c>
    </row>
    <row r="366" spans="1:2" x14ac:dyDescent="0.3">
      <c r="A366" s="2">
        <v>46210</v>
      </c>
      <c r="B366" s="3">
        <v>21.9375</v>
      </c>
    </row>
    <row r="367" spans="1:2" x14ac:dyDescent="0.3">
      <c r="A367" s="2">
        <v>46211</v>
      </c>
      <c r="B367" s="3">
        <v>21.9375</v>
      </c>
    </row>
    <row r="368" spans="1:2" x14ac:dyDescent="0.3">
      <c r="A368" s="2">
        <v>46216</v>
      </c>
      <c r="B368" s="3">
        <v>22.4375</v>
      </c>
    </row>
    <row r="369" spans="1:2" x14ac:dyDescent="0.3">
      <c r="A369" s="2">
        <v>46217</v>
      </c>
      <c r="B369" s="3">
        <v>22.625</v>
      </c>
    </row>
    <row r="370" spans="1:2" x14ac:dyDescent="0.3">
      <c r="A370" s="2">
        <v>46218</v>
      </c>
      <c r="B370" s="3">
        <v>22.625</v>
      </c>
    </row>
    <row r="371" spans="1:2" x14ac:dyDescent="0.3">
      <c r="A371" s="2">
        <v>46219</v>
      </c>
      <c r="B371" s="3">
        <v>22.625</v>
      </c>
    </row>
    <row r="372" spans="1:2" x14ac:dyDescent="0.3">
      <c r="A372" s="2">
        <v>46220</v>
      </c>
      <c r="B372" s="3">
        <v>22.875</v>
      </c>
    </row>
    <row r="373" spans="1:2" x14ac:dyDescent="0.3">
      <c r="A373" s="2">
        <v>46223</v>
      </c>
      <c r="B373" s="3">
        <v>22.6875</v>
      </c>
    </row>
    <row r="374" spans="1:2" x14ac:dyDescent="0.3">
      <c r="A374" s="2">
        <v>46224</v>
      </c>
      <c r="B374" s="3">
        <v>22.9375</v>
      </c>
    </row>
    <row r="375" spans="1:2" x14ac:dyDescent="0.3">
      <c r="A375" s="2">
        <v>46225</v>
      </c>
      <c r="B375" s="3">
        <v>22.9375</v>
      </c>
    </row>
    <row r="376" spans="1:2" x14ac:dyDescent="0.3">
      <c r="A376" s="2">
        <v>46226</v>
      </c>
      <c r="B376" s="3">
        <v>22.9375</v>
      </c>
    </row>
    <row r="377" spans="1:2" x14ac:dyDescent="0.3">
      <c r="A377" s="2">
        <v>46227</v>
      </c>
      <c r="B377" s="3">
        <v>22.6875</v>
      </c>
    </row>
    <row r="378" spans="1:2" x14ac:dyDescent="0.3">
      <c r="A378" s="2">
        <v>46230</v>
      </c>
      <c r="B378" s="3">
        <v>22.8125</v>
      </c>
    </row>
    <row r="379" spans="1:2" x14ac:dyDescent="0.3">
      <c r="A379" s="2">
        <v>46231</v>
      </c>
      <c r="B379" s="3">
        <v>22.875</v>
      </c>
    </row>
    <row r="380" spans="1:2" x14ac:dyDescent="0.3">
      <c r="A380" s="2">
        <v>46232</v>
      </c>
      <c r="B380" s="3">
        <v>22.375</v>
      </c>
    </row>
    <row r="381" spans="1:2" x14ac:dyDescent="0.3">
      <c r="A381" s="2">
        <v>46233</v>
      </c>
      <c r="B381" s="3">
        <v>22.875</v>
      </c>
    </row>
    <row r="382" spans="1:2" x14ac:dyDescent="0.3">
      <c r="A382" s="2">
        <v>46234</v>
      </c>
      <c r="B382" s="3">
        <v>23.3125</v>
      </c>
    </row>
    <row r="383" spans="1:2" x14ac:dyDescent="0.3">
      <c r="A383" s="2">
        <v>46237</v>
      </c>
      <c r="B383" s="3">
        <v>22.9375</v>
      </c>
    </row>
    <row r="384" spans="1:2" x14ac:dyDescent="0.3">
      <c r="A384" s="2">
        <v>46238</v>
      </c>
      <c r="B384" s="3">
        <v>23.125</v>
      </c>
    </row>
    <row r="385" spans="1:2" x14ac:dyDescent="0.3">
      <c r="A385" s="2">
        <v>46239</v>
      </c>
      <c r="B385" s="3">
        <v>22.875</v>
      </c>
    </row>
    <row r="386" spans="1:2" x14ac:dyDescent="0.3">
      <c r="A386" s="2">
        <v>46240</v>
      </c>
      <c r="B386" s="3">
        <v>23.25</v>
      </c>
    </row>
    <row r="387" spans="1:2" x14ac:dyDescent="0.3">
      <c r="A387" s="2">
        <v>46241</v>
      </c>
      <c r="B387" s="3">
        <v>23.375</v>
      </c>
    </row>
    <row r="388" spans="1:2" x14ac:dyDescent="0.3">
      <c r="A388" s="2">
        <v>46244</v>
      </c>
      <c r="B388" s="3">
        <v>23.3125</v>
      </c>
    </row>
    <row r="389" spans="1:2" x14ac:dyDescent="0.3">
      <c r="A389" s="2">
        <v>46245</v>
      </c>
      <c r="B389" s="3">
        <v>23.875</v>
      </c>
    </row>
    <row r="390" spans="1:2" x14ac:dyDescent="0.3">
      <c r="A390" s="2">
        <v>46246</v>
      </c>
      <c r="B390" s="3">
        <v>23.1875</v>
      </c>
    </row>
    <row r="391" spans="1:2" x14ac:dyDescent="0.3">
      <c r="A391" s="2">
        <v>46247</v>
      </c>
      <c r="B391" s="3">
        <v>24.1875</v>
      </c>
    </row>
    <row r="392" spans="1:2" x14ac:dyDescent="0.3">
      <c r="A392" s="2">
        <v>46248</v>
      </c>
      <c r="B392" s="3">
        <v>24.5625</v>
      </c>
    </row>
    <row r="393" spans="1:2" x14ac:dyDescent="0.3">
      <c r="A393" s="2">
        <v>46252</v>
      </c>
      <c r="B393" s="3">
        <v>24.5</v>
      </c>
    </row>
    <row r="394" spans="1:2" x14ac:dyDescent="0.3">
      <c r="A394" s="2">
        <v>46253</v>
      </c>
      <c r="B394" s="3">
        <v>25.1875</v>
      </c>
    </row>
    <row r="395" spans="1:2" x14ac:dyDescent="0.3">
      <c r="A395" s="2">
        <v>46254</v>
      </c>
      <c r="B395" s="3">
        <v>26.5</v>
      </c>
    </row>
    <row r="396" spans="1:2" x14ac:dyDescent="0.3">
      <c r="A396" s="2">
        <v>46255</v>
      </c>
      <c r="B396" s="3">
        <v>25.3125</v>
      </c>
    </row>
    <row r="397" spans="1:2" x14ac:dyDescent="0.3">
      <c r="A397" s="2">
        <v>46258</v>
      </c>
      <c r="B397" s="3">
        <v>25.0625</v>
      </c>
    </row>
    <row r="398" spans="1:2" x14ac:dyDescent="0.3">
      <c r="A398" s="2">
        <v>46259</v>
      </c>
      <c r="B398" s="3">
        <v>25.25</v>
      </c>
    </row>
    <row r="399" spans="1:2" x14ac:dyDescent="0.3">
      <c r="A399" s="2">
        <v>46260</v>
      </c>
      <c r="B399" s="3">
        <v>25.125</v>
      </c>
    </row>
    <row r="400" spans="1:2" x14ac:dyDescent="0.3">
      <c r="A400" s="2">
        <v>46261</v>
      </c>
      <c r="B400" s="3">
        <v>25.1875</v>
      </c>
    </row>
    <row r="401" spans="1:2" x14ac:dyDescent="0.3">
      <c r="A401" s="2">
        <v>46262</v>
      </c>
      <c r="B401" s="3">
        <v>24.625</v>
      </c>
    </row>
    <row r="402" spans="1:2" x14ac:dyDescent="0.3">
      <c r="A402" s="2">
        <v>46265</v>
      </c>
      <c r="B402" s="3">
        <v>24.6875</v>
      </c>
    </row>
    <row r="403" spans="1:2" x14ac:dyDescent="0.3">
      <c r="A403" s="2">
        <v>46266</v>
      </c>
      <c r="B403" s="3">
        <v>23.8125</v>
      </c>
    </row>
    <row r="404" spans="1:2" x14ac:dyDescent="0.3">
      <c r="A404" s="2">
        <v>46267</v>
      </c>
      <c r="B404" s="3">
        <v>24.5</v>
      </c>
    </row>
    <row r="405" spans="1:2" x14ac:dyDescent="0.3">
      <c r="A405" s="2">
        <v>46268</v>
      </c>
      <c r="B405" s="3">
        <v>24.25</v>
      </c>
    </row>
    <row r="406" spans="1:2" x14ac:dyDescent="0.3">
      <c r="A406" s="2">
        <v>46269</v>
      </c>
      <c r="B406" s="3">
        <v>24.0625</v>
      </c>
    </row>
    <row r="407" spans="1:2" x14ac:dyDescent="0.3">
      <c r="A407" s="2">
        <v>46272</v>
      </c>
      <c r="B407" s="3">
        <v>24.1875</v>
      </c>
    </row>
    <row r="408" spans="1:2" x14ac:dyDescent="0.3">
      <c r="A408" s="2">
        <v>46273</v>
      </c>
      <c r="B408" s="3">
        <v>24</v>
      </c>
    </row>
    <row r="409" spans="1:2" x14ac:dyDescent="0.3">
      <c r="A409" s="2">
        <v>46274</v>
      </c>
      <c r="B409" s="3">
        <v>23.5625</v>
      </c>
    </row>
    <row r="410" spans="1:2" x14ac:dyDescent="0.3">
      <c r="A410" s="2">
        <v>46275</v>
      </c>
      <c r="B410" s="3">
        <v>23.8125</v>
      </c>
    </row>
    <row r="411" spans="1:2" x14ac:dyDescent="0.3">
      <c r="A411" s="2">
        <v>46276</v>
      </c>
      <c r="B411" s="3">
        <v>23.4375</v>
      </c>
    </row>
    <row r="412" spans="1:2" x14ac:dyDescent="0.3">
      <c r="A412" s="2">
        <v>46279</v>
      </c>
      <c r="B412" s="3">
        <v>23.625</v>
      </c>
    </row>
    <row r="413" spans="1:2" x14ac:dyDescent="0.3">
      <c r="A413" s="2">
        <v>46280</v>
      </c>
      <c r="B413" s="3">
        <v>23.625</v>
      </c>
    </row>
    <row r="414" spans="1:2" x14ac:dyDescent="0.3">
      <c r="A414" s="2">
        <v>46281</v>
      </c>
      <c r="B414" s="3">
        <v>23.625</v>
      </c>
    </row>
    <row r="415" spans="1:2" x14ac:dyDescent="0.3">
      <c r="A415" s="2">
        <v>46282</v>
      </c>
      <c r="B415" s="3">
        <v>23.5625</v>
      </c>
    </row>
    <row r="416" spans="1:2" x14ac:dyDescent="0.3">
      <c r="A416" s="2">
        <v>46283</v>
      </c>
      <c r="B416" s="3">
        <v>23.25</v>
      </c>
    </row>
    <row r="417" spans="1:2" x14ac:dyDescent="0.3">
      <c r="A417" s="2">
        <v>46286</v>
      </c>
      <c r="B417" s="3">
        <v>23.5</v>
      </c>
    </row>
    <row r="418" spans="1:2" x14ac:dyDescent="0.3">
      <c r="A418" s="2">
        <v>46287</v>
      </c>
      <c r="B418" s="3">
        <v>23.625</v>
      </c>
    </row>
    <row r="419" spans="1:2" x14ac:dyDescent="0.3">
      <c r="A419" s="2">
        <v>46288</v>
      </c>
      <c r="B419" s="3">
        <v>23.6875</v>
      </c>
    </row>
    <row r="420" spans="1:2" x14ac:dyDescent="0.3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3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3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3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3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3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3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3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3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3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3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3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3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3">
      <c r="A433" s="2">
        <f>+WORKDAY(A432,1,Feriados!$A$2:$A$38)</f>
        <v>46309</v>
      </c>
      <c r="B433" s="3">
        <f>+IFERROR(VLOOKUP(A433,[3]Variables!$M:$N,2,0),0)</f>
        <v>24.5625</v>
      </c>
      <c r="C433" s="5"/>
    </row>
    <row r="434" spans="1:3" x14ac:dyDescent="0.3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3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3">
      <c r="A436" s="2">
        <f>+WORKDAY(A435,1,Feriados!$A$2:$A$38)</f>
        <v>46314</v>
      </c>
      <c r="B436" s="3">
        <f>+IFERROR(VLOOKUP(A436,[3]Variables!$M:$N,2,0),0)</f>
        <v>24</v>
      </c>
    </row>
    <row r="437" spans="1:3" x14ac:dyDescent="0.3">
      <c r="A437" s="2">
        <f>+WORKDAY(A436,1,Feriados!$A$2:$A$38)</f>
        <v>46315</v>
      </c>
      <c r="B437" s="13">
        <v>24.38</v>
      </c>
    </row>
    <row r="438" spans="1:3" x14ac:dyDescent="0.3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19" workbookViewId="0">
      <selection activeCell="B418" sqref="B418"/>
    </sheetView>
  </sheetViews>
  <sheetFormatPr baseColWidth="10" defaultRowHeight="14.4" x14ac:dyDescent="0.3"/>
  <sheetData>
    <row r="1" spans="1:2" x14ac:dyDescent="0.3">
      <c r="A1" s="2" t="s">
        <v>2</v>
      </c>
      <c r="B1" s="3" t="s">
        <v>21</v>
      </c>
    </row>
    <row r="2" spans="1:2" x14ac:dyDescent="0.3">
      <c r="A2" s="2">
        <v>45659</v>
      </c>
      <c r="B2" s="3">
        <v>516.30553999999995</v>
      </c>
    </row>
    <row r="3" spans="1:2" x14ac:dyDescent="0.3">
      <c r="A3" s="2">
        <v>45660</v>
      </c>
      <c r="B3" s="3">
        <v>516.70069000000001</v>
      </c>
    </row>
    <row r="4" spans="1:2" x14ac:dyDescent="0.3">
      <c r="A4" s="2">
        <v>45663</v>
      </c>
      <c r="B4" s="3">
        <v>517.88795700000003</v>
      </c>
    </row>
    <row r="5" spans="1:2" x14ac:dyDescent="0.3">
      <c r="A5" s="2">
        <v>45664</v>
      </c>
      <c r="B5" s="3">
        <v>518.28431799999998</v>
      </c>
    </row>
    <row r="6" spans="1:2" x14ac:dyDescent="0.3">
      <c r="A6" s="2">
        <v>45665</v>
      </c>
      <c r="B6" s="3">
        <v>518.68098299999997</v>
      </c>
    </row>
    <row r="7" spans="1:2" x14ac:dyDescent="0.3">
      <c r="A7" s="2">
        <v>45666</v>
      </c>
      <c r="B7" s="3">
        <v>519.07795099999998</v>
      </c>
    </row>
    <row r="8" spans="1:2" x14ac:dyDescent="0.3">
      <c r="A8" s="2">
        <v>45667</v>
      </c>
      <c r="B8" s="3">
        <v>519.47522300000003</v>
      </c>
    </row>
    <row r="9" spans="1:2" x14ac:dyDescent="0.3">
      <c r="A9" s="2">
        <v>45670</v>
      </c>
      <c r="B9" s="3">
        <v>520.66886499999998</v>
      </c>
    </row>
    <row r="10" spans="1:2" x14ac:dyDescent="0.3">
      <c r="A10" s="2">
        <v>45671</v>
      </c>
      <c r="B10" s="3">
        <v>521.06735500000002</v>
      </c>
    </row>
    <row r="11" spans="1:2" x14ac:dyDescent="0.3">
      <c r="A11" s="2">
        <v>45672</v>
      </c>
      <c r="B11" s="3">
        <v>521.46614899999997</v>
      </c>
    </row>
    <row r="12" spans="1:2" x14ac:dyDescent="0.3">
      <c r="A12" s="2">
        <v>45673</v>
      </c>
      <c r="B12" s="3">
        <v>521.91449899999998</v>
      </c>
    </row>
    <row r="13" spans="1:2" x14ac:dyDescent="0.3">
      <c r="A13" s="2">
        <v>45674</v>
      </c>
      <c r="B13" s="3">
        <v>522.36323400000003</v>
      </c>
    </row>
    <row r="14" spans="1:2" x14ac:dyDescent="0.3">
      <c r="A14" s="2">
        <v>45677</v>
      </c>
      <c r="B14" s="3">
        <v>523.71175500000004</v>
      </c>
    </row>
    <row r="15" spans="1:2" x14ac:dyDescent="0.3">
      <c r="A15" s="2">
        <v>45678</v>
      </c>
      <c r="B15" s="3">
        <v>524.16203599999994</v>
      </c>
    </row>
    <row r="16" spans="1:2" x14ac:dyDescent="0.3">
      <c r="A16" s="2">
        <v>45679</v>
      </c>
      <c r="B16" s="3">
        <v>524.61270300000001</v>
      </c>
    </row>
    <row r="17" spans="1:2" x14ac:dyDescent="0.3">
      <c r="A17" s="2">
        <v>45680</v>
      </c>
      <c r="B17" s="3">
        <v>525.06375800000001</v>
      </c>
    </row>
    <row r="18" spans="1:2" x14ac:dyDescent="0.3">
      <c r="A18" s="2">
        <v>45681</v>
      </c>
      <c r="B18" s="3">
        <v>525.51520100000005</v>
      </c>
    </row>
    <row r="19" spans="1:2" x14ac:dyDescent="0.3">
      <c r="A19" s="2">
        <v>45684</v>
      </c>
      <c r="B19" s="3">
        <v>526.87185899999997</v>
      </c>
    </row>
    <row r="20" spans="1:2" x14ac:dyDescent="0.3">
      <c r="A20" s="2">
        <v>45685</v>
      </c>
      <c r="B20" s="3">
        <v>527.32485699999995</v>
      </c>
    </row>
    <row r="21" spans="1:2" x14ac:dyDescent="0.3">
      <c r="A21" s="2">
        <v>45686</v>
      </c>
      <c r="B21" s="3">
        <v>527.77824299999997</v>
      </c>
    </row>
    <row r="22" spans="1:2" x14ac:dyDescent="0.3">
      <c r="A22" s="2">
        <v>45687</v>
      </c>
      <c r="B22" s="3">
        <v>528.23202000000003</v>
      </c>
    </row>
    <row r="23" spans="1:2" x14ac:dyDescent="0.3">
      <c r="A23" s="2">
        <v>45688</v>
      </c>
      <c r="B23" s="3">
        <v>528.68618700000002</v>
      </c>
    </row>
    <row r="24" spans="1:2" x14ac:dyDescent="0.3">
      <c r="A24" s="2">
        <v>45691</v>
      </c>
      <c r="B24" s="3">
        <v>530.05103099999997</v>
      </c>
    </row>
    <row r="25" spans="1:2" x14ac:dyDescent="0.3">
      <c r="A25" s="2">
        <v>45692</v>
      </c>
      <c r="B25" s="3">
        <v>530.50676199999998</v>
      </c>
    </row>
    <row r="26" spans="1:2" x14ac:dyDescent="0.3">
      <c r="A26" s="2">
        <v>45693</v>
      </c>
      <c r="B26" s="3">
        <v>530.96288500000003</v>
      </c>
    </row>
    <row r="27" spans="1:2" x14ac:dyDescent="0.3">
      <c r="A27" s="2">
        <v>45694</v>
      </c>
      <c r="B27" s="3">
        <v>531.4194</v>
      </c>
    </row>
    <row r="28" spans="1:2" x14ac:dyDescent="0.3">
      <c r="A28" s="2">
        <v>45695</v>
      </c>
      <c r="B28" s="3">
        <v>531.876307</v>
      </c>
    </row>
    <row r="29" spans="1:2" x14ac:dyDescent="0.3">
      <c r="A29" s="2">
        <v>45698</v>
      </c>
      <c r="B29" s="3">
        <v>533.24938699999996</v>
      </c>
    </row>
    <row r="30" spans="1:2" x14ac:dyDescent="0.3">
      <c r="A30" s="2">
        <v>45699</v>
      </c>
      <c r="B30" s="3">
        <v>533.70786799999996</v>
      </c>
    </row>
    <row r="31" spans="1:2" x14ac:dyDescent="0.3">
      <c r="A31" s="2">
        <v>45700</v>
      </c>
      <c r="B31" s="3">
        <v>534.166742</v>
      </c>
    </row>
    <row r="32" spans="1:2" x14ac:dyDescent="0.3">
      <c r="A32" s="2">
        <v>45701</v>
      </c>
      <c r="B32" s="3">
        <v>534.62601199999995</v>
      </c>
    </row>
    <row r="33" spans="1:2" x14ac:dyDescent="0.3">
      <c r="A33" s="2">
        <v>45702</v>
      </c>
      <c r="B33" s="3">
        <v>535.08567600000003</v>
      </c>
    </row>
    <row r="34" spans="1:2" x14ac:dyDescent="0.3">
      <c r="A34" s="2">
        <v>45705</v>
      </c>
      <c r="B34" s="3">
        <v>536.37883099999999</v>
      </c>
    </row>
    <row r="35" spans="1:2" x14ac:dyDescent="0.3">
      <c r="A35" s="2">
        <v>45706</v>
      </c>
      <c r="B35" s="3">
        <v>536.79586400000005</v>
      </c>
    </row>
    <row r="36" spans="1:2" x14ac:dyDescent="0.3">
      <c r="A36" s="2">
        <v>45707</v>
      </c>
      <c r="B36" s="3">
        <v>537.21322199999997</v>
      </c>
    </row>
    <row r="37" spans="1:2" x14ac:dyDescent="0.3">
      <c r="A37" s="2">
        <v>45708</v>
      </c>
      <c r="B37" s="3">
        <v>537.63090499999998</v>
      </c>
    </row>
    <row r="38" spans="1:2" x14ac:dyDescent="0.3">
      <c r="A38" s="2">
        <v>45709</v>
      </c>
      <c r="B38" s="3">
        <v>538.04891199999997</v>
      </c>
    </row>
    <row r="39" spans="1:2" x14ac:dyDescent="0.3">
      <c r="A39" s="2">
        <v>45712</v>
      </c>
      <c r="B39" s="3">
        <v>539.30488400000002</v>
      </c>
    </row>
    <row r="40" spans="1:2" x14ac:dyDescent="0.3">
      <c r="A40" s="2">
        <v>45713</v>
      </c>
      <c r="B40" s="3">
        <v>539.72419300000001</v>
      </c>
    </row>
    <row r="41" spans="1:2" x14ac:dyDescent="0.3">
      <c r="A41" s="2">
        <v>45714</v>
      </c>
      <c r="B41" s="3">
        <v>540.14382699999999</v>
      </c>
    </row>
    <row r="42" spans="1:2" x14ac:dyDescent="0.3">
      <c r="A42" s="2">
        <v>45715</v>
      </c>
      <c r="B42" s="3">
        <v>540.56378800000005</v>
      </c>
    </row>
    <row r="43" spans="1:2" x14ac:dyDescent="0.3">
      <c r="A43" s="2">
        <v>45716</v>
      </c>
      <c r="B43" s="3">
        <v>540.98407499999996</v>
      </c>
    </row>
    <row r="44" spans="1:2" x14ac:dyDescent="0.3">
      <c r="A44" s="2">
        <v>45721</v>
      </c>
      <c r="B44" s="3">
        <v>543.090419</v>
      </c>
    </row>
    <row r="45" spans="1:2" x14ac:dyDescent="0.3">
      <c r="A45" s="2">
        <v>45722</v>
      </c>
      <c r="B45" s="3">
        <v>543.51267099999995</v>
      </c>
    </row>
    <row r="46" spans="1:2" x14ac:dyDescent="0.3">
      <c r="A46" s="2">
        <v>45723</v>
      </c>
      <c r="B46" s="3">
        <v>543.93525099999999</v>
      </c>
    </row>
    <row r="47" spans="1:2" x14ac:dyDescent="0.3">
      <c r="A47" s="2">
        <v>45726</v>
      </c>
      <c r="B47" s="3">
        <v>545.20496400000002</v>
      </c>
    </row>
    <row r="48" spans="1:2" x14ac:dyDescent="0.3">
      <c r="A48" s="2">
        <v>45727</v>
      </c>
      <c r="B48" s="3">
        <v>545.62886000000003</v>
      </c>
    </row>
    <row r="49" spans="1:2" x14ac:dyDescent="0.3">
      <c r="A49" s="2">
        <v>45728</v>
      </c>
      <c r="B49" s="3">
        <v>546.05308500000001</v>
      </c>
    </row>
    <row r="50" spans="1:2" x14ac:dyDescent="0.3">
      <c r="A50" s="2">
        <v>45729</v>
      </c>
      <c r="B50" s="3">
        <v>546.47763999999995</v>
      </c>
    </row>
    <row r="51" spans="1:2" x14ac:dyDescent="0.3">
      <c r="A51" s="2">
        <v>45730</v>
      </c>
      <c r="B51" s="3">
        <v>546.90252599999997</v>
      </c>
    </row>
    <row r="52" spans="1:2" x14ac:dyDescent="0.3">
      <c r="A52" s="2">
        <v>45733</v>
      </c>
      <c r="B52" s="3">
        <v>548.16584799999998</v>
      </c>
    </row>
    <row r="53" spans="1:2" x14ac:dyDescent="0.3">
      <c r="A53" s="2">
        <v>45734</v>
      </c>
      <c r="B53" s="3">
        <v>548.58538199999998</v>
      </c>
    </row>
    <row r="54" spans="1:2" x14ac:dyDescent="0.3">
      <c r="A54" s="2">
        <v>45735</v>
      </c>
      <c r="B54" s="3">
        <v>549.00523799999996</v>
      </c>
    </row>
    <row r="55" spans="1:2" x14ac:dyDescent="0.3">
      <c r="A55" s="2">
        <v>45736</v>
      </c>
      <c r="B55" s="3">
        <v>549.42541500000004</v>
      </c>
    </row>
    <row r="56" spans="1:2" x14ac:dyDescent="0.3">
      <c r="A56" s="2">
        <v>45737</v>
      </c>
      <c r="B56" s="3">
        <v>549.845913</v>
      </c>
    </row>
    <row r="57" spans="1:2" x14ac:dyDescent="0.3">
      <c r="A57" s="2">
        <v>45741</v>
      </c>
      <c r="B57" s="3">
        <v>551.53112699999997</v>
      </c>
    </row>
    <row r="58" spans="1:2" x14ac:dyDescent="0.3">
      <c r="A58" s="2">
        <v>45742</v>
      </c>
      <c r="B58" s="3">
        <v>551.95323699999994</v>
      </c>
    </row>
    <row r="59" spans="1:2" x14ac:dyDescent="0.3">
      <c r="A59" s="2">
        <v>45743</v>
      </c>
      <c r="B59" s="3">
        <v>552.37567000000001</v>
      </c>
    </row>
    <row r="60" spans="1:2" x14ac:dyDescent="0.3">
      <c r="A60" s="2">
        <v>45744</v>
      </c>
      <c r="B60" s="3">
        <v>552.79842599999995</v>
      </c>
    </row>
    <row r="61" spans="1:2" x14ac:dyDescent="0.3">
      <c r="A61" s="2">
        <v>45747</v>
      </c>
      <c r="B61" s="3">
        <v>554.06863699999997</v>
      </c>
    </row>
    <row r="62" spans="1:2" x14ac:dyDescent="0.3">
      <c r="A62" s="2">
        <v>45748</v>
      </c>
      <c r="B62" s="3">
        <v>554.49268900000004</v>
      </c>
    </row>
    <row r="63" spans="1:2" x14ac:dyDescent="0.3">
      <c r="A63" s="2">
        <v>45750</v>
      </c>
      <c r="B63" s="3">
        <v>555.341767</v>
      </c>
    </row>
    <row r="64" spans="1:2" x14ac:dyDescent="0.3">
      <c r="A64" s="2">
        <v>45751</v>
      </c>
      <c r="B64" s="3">
        <v>555.76679300000001</v>
      </c>
    </row>
    <row r="65" spans="1:2" x14ac:dyDescent="0.3">
      <c r="A65" s="2">
        <v>45754</v>
      </c>
      <c r="B65" s="3">
        <v>557.04382499999997</v>
      </c>
    </row>
    <row r="66" spans="1:2" x14ac:dyDescent="0.3">
      <c r="A66" s="2">
        <v>45755</v>
      </c>
      <c r="B66" s="3">
        <v>557.47015399999998</v>
      </c>
    </row>
    <row r="67" spans="1:2" x14ac:dyDescent="0.3">
      <c r="A67" s="2">
        <v>45756</v>
      </c>
      <c r="B67" s="3">
        <v>557.89680999999996</v>
      </c>
    </row>
    <row r="68" spans="1:2" x14ac:dyDescent="0.3">
      <c r="A68" s="2">
        <v>45757</v>
      </c>
      <c r="B68" s="3">
        <v>558.32379100000003</v>
      </c>
    </row>
    <row r="69" spans="1:2" x14ac:dyDescent="0.3">
      <c r="A69" s="2">
        <v>45758</v>
      </c>
      <c r="B69" s="3">
        <v>558.75109999999995</v>
      </c>
    </row>
    <row r="70" spans="1:2" x14ac:dyDescent="0.3">
      <c r="A70" s="2">
        <v>45761</v>
      </c>
      <c r="B70" s="3">
        <v>560.034989</v>
      </c>
    </row>
    <row r="71" spans="1:2" x14ac:dyDescent="0.3">
      <c r="A71" s="2">
        <v>45762</v>
      </c>
      <c r="B71" s="3">
        <v>560.46360700000002</v>
      </c>
    </row>
    <row r="72" spans="1:2" x14ac:dyDescent="0.3">
      <c r="A72" s="2">
        <v>45763</v>
      </c>
      <c r="B72" s="3">
        <v>561.14277600000003</v>
      </c>
    </row>
    <row r="73" spans="1:2" x14ac:dyDescent="0.3">
      <c r="A73" s="2">
        <v>45768</v>
      </c>
      <c r="B73" s="3">
        <v>564.55098399999997</v>
      </c>
    </row>
    <row r="74" spans="1:2" x14ac:dyDescent="0.3">
      <c r="A74" s="2">
        <v>45769</v>
      </c>
      <c r="B74" s="3">
        <v>565.23510599999997</v>
      </c>
    </row>
    <row r="75" spans="1:2" x14ac:dyDescent="0.3">
      <c r="A75" s="2">
        <v>45770</v>
      </c>
      <c r="B75" s="3">
        <v>565.92005700000004</v>
      </c>
    </row>
    <row r="76" spans="1:2" x14ac:dyDescent="0.3">
      <c r="A76" s="2">
        <v>45771</v>
      </c>
      <c r="B76" s="3">
        <v>566.60583799999995</v>
      </c>
    </row>
    <row r="77" spans="1:2" x14ac:dyDescent="0.3">
      <c r="A77" s="2">
        <v>45772</v>
      </c>
      <c r="B77" s="3">
        <v>567.29245000000003</v>
      </c>
    </row>
    <row r="78" spans="1:2" x14ac:dyDescent="0.3">
      <c r="A78" s="2">
        <v>45775</v>
      </c>
      <c r="B78" s="3">
        <v>569.35728099999994</v>
      </c>
    </row>
    <row r="79" spans="1:2" x14ac:dyDescent="0.3">
      <c r="A79" s="2">
        <v>45776</v>
      </c>
      <c r="B79" s="3">
        <v>570.04722700000002</v>
      </c>
    </row>
    <row r="80" spans="1:2" x14ac:dyDescent="0.3">
      <c r="A80" s="2">
        <v>45777</v>
      </c>
      <c r="B80" s="3">
        <v>570.73800900000003</v>
      </c>
    </row>
    <row r="81" spans="1:2" x14ac:dyDescent="0.3">
      <c r="A81" s="2">
        <v>45782</v>
      </c>
      <c r="B81" s="3">
        <v>574.20449599999995</v>
      </c>
    </row>
    <row r="82" spans="1:2" x14ac:dyDescent="0.3">
      <c r="A82" s="2">
        <v>45783</v>
      </c>
      <c r="B82" s="3">
        <v>574.90031599999998</v>
      </c>
    </row>
    <row r="83" spans="1:2" x14ac:dyDescent="0.3">
      <c r="A83" s="2">
        <v>45784</v>
      </c>
      <c r="B83" s="3">
        <v>575.59697900000003</v>
      </c>
    </row>
    <row r="84" spans="1:2" x14ac:dyDescent="0.3">
      <c r="A84" s="2">
        <v>45785</v>
      </c>
      <c r="B84" s="3">
        <v>576.29448600000001</v>
      </c>
    </row>
    <row r="85" spans="1:2" x14ac:dyDescent="0.3">
      <c r="A85" s="2">
        <v>45786</v>
      </c>
      <c r="B85" s="3">
        <v>576.992839</v>
      </c>
    </row>
    <row r="86" spans="1:2" x14ac:dyDescent="0.3">
      <c r="A86" s="2">
        <v>45789</v>
      </c>
      <c r="B86" s="3">
        <v>579.09297800000002</v>
      </c>
    </row>
    <row r="87" spans="1:2" x14ac:dyDescent="0.3">
      <c r="A87" s="2">
        <v>45790</v>
      </c>
      <c r="B87" s="3">
        <v>579.79472099999998</v>
      </c>
    </row>
    <row r="88" spans="1:2" x14ac:dyDescent="0.3">
      <c r="A88" s="2">
        <v>45791</v>
      </c>
      <c r="B88" s="3">
        <v>580.49731499999996</v>
      </c>
    </row>
    <row r="89" spans="1:2" x14ac:dyDescent="0.3">
      <c r="A89" s="2">
        <v>45792</v>
      </c>
      <c r="B89" s="3">
        <v>581.20076100000006</v>
      </c>
    </row>
    <row r="90" spans="1:2" x14ac:dyDescent="0.3">
      <c r="A90" s="2">
        <v>45793</v>
      </c>
      <c r="B90" s="3">
        <v>581.71873200000005</v>
      </c>
    </row>
    <row r="91" spans="1:2" x14ac:dyDescent="0.3">
      <c r="A91" s="2">
        <v>45796</v>
      </c>
      <c r="B91" s="3">
        <v>583.27541699999995</v>
      </c>
    </row>
    <row r="92" spans="1:2" x14ac:dyDescent="0.3">
      <c r="A92" s="2">
        <v>45797</v>
      </c>
      <c r="B92" s="3">
        <v>583.79523700000004</v>
      </c>
    </row>
    <row r="93" spans="1:2" x14ac:dyDescent="0.3">
      <c r="A93" s="2">
        <v>45798</v>
      </c>
      <c r="B93" s="3">
        <v>584.31552099999999</v>
      </c>
    </row>
    <row r="94" spans="1:2" x14ac:dyDescent="0.3">
      <c r="A94" s="2">
        <v>45799</v>
      </c>
      <c r="B94" s="3">
        <v>584.83626800000002</v>
      </c>
    </row>
    <row r="95" spans="1:2" x14ac:dyDescent="0.3">
      <c r="A95" s="2">
        <v>45800</v>
      </c>
      <c r="B95" s="3">
        <v>585.35747900000001</v>
      </c>
    </row>
    <row r="96" spans="1:2" x14ac:dyDescent="0.3">
      <c r="A96" s="2">
        <v>45803</v>
      </c>
      <c r="B96" s="3">
        <v>586.923901</v>
      </c>
    </row>
    <row r="97" spans="1:2" x14ac:dyDescent="0.3">
      <c r="A97" s="2">
        <v>45804</v>
      </c>
      <c r="B97" s="3">
        <v>587.44697299999996</v>
      </c>
    </row>
    <row r="98" spans="1:2" x14ac:dyDescent="0.3">
      <c r="A98" s="2">
        <v>45805</v>
      </c>
      <c r="B98" s="3">
        <v>587.97051099999999</v>
      </c>
    </row>
    <row r="99" spans="1:2" x14ac:dyDescent="0.3">
      <c r="A99" s="2">
        <v>45806</v>
      </c>
      <c r="B99" s="3">
        <v>588.49451499999998</v>
      </c>
    </row>
    <row r="100" spans="1:2" x14ac:dyDescent="0.3">
      <c r="A100" s="2">
        <v>45807</v>
      </c>
      <c r="B100" s="3">
        <v>589.01898700000004</v>
      </c>
    </row>
    <row r="101" spans="1:2" x14ac:dyDescent="0.3">
      <c r="A101" s="2">
        <v>45810</v>
      </c>
      <c r="B101" s="3">
        <v>590.59520699999996</v>
      </c>
    </row>
    <row r="102" spans="1:2" x14ac:dyDescent="0.3">
      <c r="A102" s="2">
        <v>45811</v>
      </c>
      <c r="B102" s="3">
        <v>591.12155099999995</v>
      </c>
    </row>
    <row r="103" spans="1:2" x14ac:dyDescent="0.3">
      <c r="A103" s="2">
        <v>45812</v>
      </c>
      <c r="B103" s="3">
        <v>591.64836300000002</v>
      </c>
    </row>
    <row r="104" spans="1:2" x14ac:dyDescent="0.3">
      <c r="A104" s="2">
        <v>45813</v>
      </c>
      <c r="B104" s="3">
        <v>592.17564600000003</v>
      </c>
    </row>
    <row r="105" spans="1:2" x14ac:dyDescent="0.3">
      <c r="A105" s="2">
        <v>45814</v>
      </c>
      <c r="B105" s="3">
        <v>592.70339799999999</v>
      </c>
    </row>
    <row r="106" spans="1:2" x14ac:dyDescent="0.3">
      <c r="A106" s="2">
        <v>45817</v>
      </c>
      <c r="B106" s="3">
        <v>594.28947800000003</v>
      </c>
    </row>
    <row r="107" spans="1:2" x14ac:dyDescent="0.3">
      <c r="A107" s="2">
        <v>45818</v>
      </c>
      <c r="B107" s="3">
        <v>594.81911400000001</v>
      </c>
    </row>
    <row r="108" spans="1:2" x14ac:dyDescent="0.3">
      <c r="A108" s="2">
        <v>45819</v>
      </c>
      <c r="B108" s="3">
        <v>595.34922200000005</v>
      </c>
    </row>
    <row r="109" spans="1:2" x14ac:dyDescent="0.3">
      <c r="A109" s="2">
        <v>45820</v>
      </c>
      <c r="B109" s="3">
        <v>595.87980200000004</v>
      </c>
    </row>
    <row r="110" spans="1:2" x14ac:dyDescent="0.3">
      <c r="A110" s="2">
        <v>45821</v>
      </c>
      <c r="B110" s="3">
        <v>596.41085499999997</v>
      </c>
    </row>
    <row r="111" spans="1:2" x14ac:dyDescent="0.3">
      <c r="A111" s="2">
        <v>45825</v>
      </c>
      <c r="B111" s="3">
        <v>598.06771400000002</v>
      </c>
    </row>
    <row r="112" spans="1:2" x14ac:dyDescent="0.3">
      <c r="A112" s="2">
        <v>45826</v>
      </c>
      <c r="B112" s="3">
        <v>598.36460099999999</v>
      </c>
    </row>
    <row r="113" spans="1:2" x14ac:dyDescent="0.3">
      <c r="A113" s="2">
        <v>45827</v>
      </c>
      <c r="B113" s="3">
        <v>598.66163600000004</v>
      </c>
    </row>
    <row r="114" spans="1:2" x14ac:dyDescent="0.3">
      <c r="A114" s="2">
        <v>45831</v>
      </c>
      <c r="B114" s="3">
        <v>599.85124800000006</v>
      </c>
    </row>
    <row r="115" spans="1:2" x14ac:dyDescent="0.3">
      <c r="A115" s="2">
        <v>45832</v>
      </c>
      <c r="B115" s="3">
        <v>600.14901999999995</v>
      </c>
    </row>
    <row r="116" spans="1:2" x14ac:dyDescent="0.3">
      <c r="A116" s="2">
        <v>45833</v>
      </c>
      <c r="B116" s="3">
        <v>600.44694000000004</v>
      </c>
    </row>
    <row r="117" spans="1:2" x14ac:dyDescent="0.3">
      <c r="A117" s="2">
        <v>45834</v>
      </c>
      <c r="B117" s="3">
        <v>600.74500899999998</v>
      </c>
    </row>
    <row r="118" spans="1:2" x14ac:dyDescent="0.3">
      <c r="A118" s="2">
        <v>45835</v>
      </c>
      <c r="B118" s="3">
        <v>601.04322400000001</v>
      </c>
    </row>
    <row r="119" spans="1:2" x14ac:dyDescent="0.3">
      <c r="A119" s="2">
        <v>45838</v>
      </c>
      <c r="B119" s="3">
        <v>601.938761</v>
      </c>
    </row>
    <row r="120" spans="1:2" x14ac:dyDescent="0.3">
      <c r="A120" s="2">
        <v>45839</v>
      </c>
      <c r="B120" s="3">
        <v>602.23757000000001</v>
      </c>
    </row>
    <row r="121" spans="1:2" x14ac:dyDescent="0.3">
      <c r="A121" s="2">
        <v>45840</v>
      </c>
      <c r="B121" s="3">
        <v>602.53652599999998</v>
      </c>
    </row>
    <row r="122" spans="1:2" x14ac:dyDescent="0.3">
      <c r="A122" s="2">
        <v>45841</v>
      </c>
      <c r="B122" s="3">
        <v>602.83563200000003</v>
      </c>
    </row>
    <row r="123" spans="1:2" x14ac:dyDescent="0.3">
      <c r="A123" s="2">
        <v>45842</v>
      </c>
      <c r="B123" s="3">
        <v>603.13488600000005</v>
      </c>
    </row>
    <row r="124" spans="1:2" x14ac:dyDescent="0.3">
      <c r="A124" s="2">
        <v>45845</v>
      </c>
      <c r="B124" s="3">
        <v>604.03353900000002</v>
      </c>
    </row>
    <row r="125" spans="1:2" x14ac:dyDescent="0.3">
      <c r="A125" s="2">
        <v>45846</v>
      </c>
      <c r="B125" s="3">
        <v>604.33338700000002</v>
      </c>
    </row>
    <row r="126" spans="1:2" x14ac:dyDescent="0.3">
      <c r="A126" s="2">
        <v>45848</v>
      </c>
      <c r="B126" s="3">
        <v>604.93353000000002</v>
      </c>
    </row>
    <row r="127" spans="1:2" x14ac:dyDescent="0.3">
      <c r="A127" s="2">
        <v>45849</v>
      </c>
      <c r="B127" s="3">
        <v>605.23382600000002</v>
      </c>
    </row>
    <row r="128" spans="1:2" x14ac:dyDescent="0.3">
      <c r="A128" s="2">
        <v>45852</v>
      </c>
      <c r="B128" s="3">
        <v>606.13560600000005</v>
      </c>
    </row>
    <row r="129" spans="1:2" x14ac:dyDescent="0.3">
      <c r="A129" s="2">
        <v>45853</v>
      </c>
      <c r="B129" s="3">
        <v>606.43649800000003</v>
      </c>
    </row>
    <row r="130" spans="1:2" x14ac:dyDescent="0.3">
      <c r="A130" s="2">
        <v>45854</v>
      </c>
      <c r="B130" s="3">
        <v>606.74709900000005</v>
      </c>
    </row>
    <row r="131" spans="1:2" x14ac:dyDescent="0.3">
      <c r="A131" s="2">
        <v>45855</v>
      </c>
      <c r="B131" s="3">
        <v>607.05786000000001</v>
      </c>
    </row>
    <row r="132" spans="1:2" x14ac:dyDescent="0.3">
      <c r="A132" s="2">
        <v>45856</v>
      </c>
      <c r="B132" s="3">
        <v>607.36877900000002</v>
      </c>
    </row>
    <row r="133" spans="1:2" x14ac:dyDescent="0.3">
      <c r="A133" s="2">
        <v>45859</v>
      </c>
      <c r="B133" s="3">
        <v>608.30249400000002</v>
      </c>
    </row>
    <row r="134" spans="1:2" x14ac:dyDescent="0.3">
      <c r="A134" s="2">
        <v>45860</v>
      </c>
      <c r="B134" s="3">
        <v>608.61405100000002</v>
      </c>
    </row>
    <row r="135" spans="1:2" x14ac:dyDescent="0.3">
      <c r="A135" s="2">
        <v>45861</v>
      </c>
      <c r="B135" s="3">
        <v>608.92576799999995</v>
      </c>
    </row>
    <row r="136" spans="1:2" x14ac:dyDescent="0.3">
      <c r="A136" s="2">
        <v>45862</v>
      </c>
      <c r="B136" s="3">
        <v>609.23764400000005</v>
      </c>
    </row>
    <row r="137" spans="1:2" x14ac:dyDescent="0.3">
      <c r="A137" s="2">
        <v>45863</v>
      </c>
      <c r="B137" s="3">
        <v>609.54967999999997</v>
      </c>
    </row>
    <row r="138" spans="1:2" x14ac:dyDescent="0.3">
      <c r="A138" s="2">
        <v>45866</v>
      </c>
      <c r="B138" s="3">
        <v>610.48674800000003</v>
      </c>
    </row>
    <row r="139" spans="1:2" x14ac:dyDescent="0.3">
      <c r="A139" s="2">
        <v>45867</v>
      </c>
      <c r="B139" s="3">
        <v>610.79942400000004</v>
      </c>
    </row>
    <row r="140" spans="1:2" x14ac:dyDescent="0.3">
      <c r="A140" s="2">
        <v>45868</v>
      </c>
      <c r="B140" s="3">
        <v>611.11225999999999</v>
      </c>
    </row>
    <row r="141" spans="1:2" x14ac:dyDescent="0.3">
      <c r="A141" s="2">
        <v>45869</v>
      </c>
      <c r="B141" s="3">
        <v>611.42525599999999</v>
      </c>
    </row>
    <row r="142" spans="1:2" x14ac:dyDescent="0.3">
      <c r="A142" s="2">
        <v>45870</v>
      </c>
      <c r="B142" s="3">
        <v>611.73841200000004</v>
      </c>
    </row>
    <row r="143" spans="1:2" x14ac:dyDescent="0.3">
      <c r="A143" s="2">
        <v>45873</v>
      </c>
      <c r="B143" s="3">
        <v>612.67884500000002</v>
      </c>
    </row>
    <row r="144" spans="1:2" x14ac:dyDescent="0.3">
      <c r="A144" s="2">
        <v>45874</v>
      </c>
      <c r="B144" s="3">
        <v>612.99264300000004</v>
      </c>
    </row>
    <row r="145" spans="1:2" x14ac:dyDescent="0.3">
      <c r="A145" s="2">
        <v>45875</v>
      </c>
      <c r="B145" s="3">
        <v>613.306602</v>
      </c>
    </row>
    <row r="146" spans="1:2" x14ac:dyDescent="0.3">
      <c r="A146" s="2">
        <v>45876</v>
      </c>
      <c r="B146" s="3">
        <v>613.620722</v>
      </c>
    </row>
    <row r="147" spans="1:2" x14ac:dyDescent="0.3">
      <c r="A147" s="2">
        <v>45877</v>
      </c>
      <c r="B147" s="3">
        <v>613.93500300000005</v>
      </c>
    </row>
    <row r="148" spans="1:2" x14ac:dyDescent="0.3">
      <c r="A148" s="2">
        <v>45880</v>
      </c>
      <c r="B148" s="3">
        <v>614.87881200000004</v>
      </c>
    </row>
    <row r="149" spans="1:2" x14ac:dyDescent="0.3">
      <c r="A149" s="2">
        <v>45881</v>
      </c>
      <c r="B149" s="3">
        <v>615.19373800000005</v>
      </c>
    </row>
    <row r="150" spans="1:2" x14ac:dyDescent="0.3">
      <c r="A150" s="2">
        <v>45882</v>
      </c>
      <c r="B150" s="3">
        <v>615.508824</v>
      </c>
    </row>
    <row r="151" spans="1:2" x14ac:dyDescent="0.3">
      <c r="A151" s="2">
        <v>45883</v>
      </c>
      <c r="B151" s="3">
        <v>615.824072</v>
      </c>
    </row>
    <row r="152" spans="1:2" x14ac:dyDescent="0.3">
      <c r="A152" s="2">
        <v>45887</v>
      </c>
      <c r="B152" s="3">
        <v>617.26277800000003</v>
      </c>
    </row>
    <row r="153" spans="1:2" x14ac:dyDescent="0.3">
      <c r="A153" s="2">
        <v>45888</v>
      </c>
      <c r="B153" s="3">
        <v>617.63766499999997</v>
      </c>
    </row>
    <row r="154" spans="1:2" x14ac:dyDescent="0.3">
      <c r="A154" s="2">
        <v>45889</v>
      </c>
      <c r="B154" s="3">
        <v>618.01278000000002</v>
      </c>
    </row>
    <row r="155" spans="1:2" x14ac:dyDescent="0.3">
      <c r="A155" s="2">
        <v>45890</v>
      </c>
      <c r="B155" s="3">
        <v>618.38812199999995</v>
      </c>
    </row>
    <row r="156" spans="1:2" x14ac:dyDescent="0.3">
      <c r="A156" s="2">
        <v>45891</v>
      </c>
      <c r="B156" s="3">
        <v>618.76369299999999</v>
      </c>
    </row>
    <row r="157" spans="1:2" x14ac:dyDescent="0.3">
      <c r="A157" s="2">
        <v>45894</v>
      </c>
      <c r="B157" s="3">
        <v>619.89177299999994</v>
      </c>
    </row>
    <row r="158" spans="1:2" x14ac:dyDescent="0.3">
      <c r="A158" s="2">
        <v>45895</v>
      </c>
      <c r="B158" s="3">
        <v>620.26825699999995</v>
      </c>
    </row>
    <row r="159" spans="1:2" x14ac:dyDescent="0.3">
      <c r="A159" s="2">
        <v>45896</v>
      </c>
      <c r="B159" s="3">
        <v>620.64496899999995</v>
      </c>
    </row>
    <row r="160" spans="1:2" x14ac:dyDescent="0.3">
      <c r="A160" s="2">
        <v>45897</v>
      </c>
      <c r="B160" s="3">
        <v>621.02191000000005</v>
      </c>
    </row>
    <row r="161" spans="1:2" x14ac:dyDescent="0.3">
      <c r="A161" s="2">
        <v>45898</v>
      </c>
      <c r="B161" s="3">
        <v>621.39908000000003</v>
      </c>
    </row>
    <row r="162" spans="1:2" x14ac:dyDescent="0.3">
      <c r="A162" s="2">
        <v>45901</v>
      </c>
      <c r="B162" s="3">
        <v>622.53196500000001</v>
      </c>
    </row>
    <row r="163" spans="1:2" x14ac:dyDescent="0.3">
      <c r="A163" s="2">
        <v>45902</v>
      </c>
      <c r="B163" s="3">
        <v>622.91005199999995</v>
      </c>
    </row>
    <row r="164" spans="1:2" x14ac:dyDescent="0.3">
      <c r="A164" s="2">
        <v>45903</v>
      </c>
      <c r="B164" s="3">
        <v>623.28836899999999</v>
      </c>
    </row>
    <row r="165" spans="1:2" x14ac:dyDescent="0.3">
      <c r="A165" s="2">
        <v>45904</v>
      </c>
      <c r="B165" s="3">
        <v>623.66691600000001</v>
      </c>
    </row>
    <row r="166" spans="1:2" x14ac:dyDescent="0.3">
      <c r="A166" s="2">
        <v>45905</v>
      </c>
      <c r="B166" s="3">
        <v>624.04569200000003</v>
      </c>
    </row>
    <row r="167" spans="1:2" x14ac:dyDescent="0.3">
      <c r="A167" s="2">
        <v>45908</v>
      </c>
      <c r="B167" s="3">
        <v>625.183402</v>
      </c>
    </row>
    <row r="168" spans="1:2" x14ac:dyDescent="0.3">
      <c r="A168" s="2">
        <v>45909</v>
      </c>
      <c r="B168" s="3">
        <v>625.56309999999996</v>
      </c>
    </row>
    <row r="169" spans="1:2" x14ac:dyDescent="0.3">
      <c r="A169" s="2">
        <v>45910</v>
      </c>
      <c r="B169" s="3">
        <v>625.94302800000003</v>
      </c>
    </row>
    <row r="170" spans="1:2" x14ac:dyDescent="0.3">
      <c r="A170" s="2">
        <v>45911</v>
      </c>
      <c r="B170" s="3">
        <v>626.32318699999996</v>
      </c>
    </row>
    <row r="171" spans="1:2" x14ac:dyDescent="0.3">
      <c r="A171" s="2">
        <v>45912</v>
      </c>
      <c r="B171" s="3">
        <v>626.703576</v>
      </c>
    </row>
    <row r="172" spans="1:2" x14ac:dyDescent="0.3">
      <c r="A172" s="2">
        <v>45915</v>
      </c>
      <c r="B172" s="3">
        <v>627.84613200000001</v>
      </c>
    </row>
    <row r="173" spans="1:2" x14ac:dyDescent="0.3">
      <c r="A173" s="2">
        <v>45916</v>
      </c>
      <c r="B173" s="3">
        <v>628.24016099999994</v>
      </c>
    </row>
    <row r="174" spans="1:2" x14ac:dyDescent="0.3">
      <c r="A174" s="2">
        <v>45917</v>
      </c>
      <c r="B174" s="3">
        <v>628.63443800000005</v>
      </c>
    </row>
    <row r="175" spans="1:2" x14ac:dyDescent="0.3">
      <c r="A175" s="2">
        <v>45918</v>
      </c>
      <c r="B175" s="3">
        <v>629.02896099999998</v>
      </c>
    </row>
    <row r="176" spans="1:2" x14ac:dyDescent="0.3">
      <c r="A176" s="2">
        <v>45919</v>
      </c>
      <c r="B176" s="3">
        <v>629.42373299999997</v>
      </c>
    </row>
    <row r="177" spans="1:2" x14ac:dyDescent="0.3">
      <c r="A177" s="2">
        <v>45922</v>
      </c>
      <c r="B177" s="3">
        <v>630.60953400000005</v>
      </c>
    </row>
    <row r="178" spans="1:2" x14ac:dyDescent="0.3">
      <c r="A178" s="2">
        <v>45923</v>
      </c>
      <c r="B178" s="3">
        <v>631.00529800000004</v>
      </c>
    </row>
    <row r="179" spans="1:2" x14ac:dyDescent="0.3">
      <c r="A179" s="2">
        <v>45924</v>
      </c>
      <c r="B179" s="3">
        <v>631.40130899999997</v>
      </c>
    </row>
    <row r="180" spans="1:2" x14ac:dyDescent="0.3">
      <c r="A180" s="2">
        <v>45925</v>
      </c>
      <c r="B180" s="3">
        <v>631.79756999999995</v>
      </c>
    </row>
    <row r="181" spans="1:2" x14ac:dyDescent="0.3">
      <c r="A181" s="2">
        <v>45926</v>
      </c>
      <c r="B181" s="3">
        <v>632.19407899999999</v>
      </c>
    </row>
    <row r="182" spans="1:2" x14ac:dyDescent="0.3">
      <c r="A182" s="2">
        <v>45929</v>
      </c>
      <c r="B182" s="3">
        <v>633.38509899999997</v>
      </c>
    </row>
    <row r="183" spans="1:2" x14ac:dyDescent="0.3">
      <c r="A183" s="2">
        <v>45930</v>
      </c>
      <c r="B183" s="3">
        <v>633.78260499999999</v>
      </c>
    </row>
    <row r="184" spans="1:2" x14ac:dyDescent="0.3">
      <c r="A184" s="2">
        <v>45931</v>
      </c>
      <c r="B184" s="3">
        <v>634.18035999999995</v>
      </c>
    </row>
    <row r="185" spans="1:2" x14ac:dyDescent="0.3">
      <c r="A185" s="2">
        <v>45932</v>
      </c>
      <c r="B185" s="3">
        <v>634.57836399999997</v>
      </c>
    </row>
    <row r="186" spans="1:2" x14ac:dyDescent="0.3">
      <c r="A186" s="2">
        <v>45933</v>
      </c>
      <c r="B186" s="3">
        <v>634.97661800000003</v>
      </c>
    </row>
    <row r="187" spans="1:2" x14ac:dyDescent="0.3">
      <c r="A187" s="2">
        <v>45936</v>
      </c>
      <c r="B187" s="3">
        <v>636.17288099999996</v>
      </c>
    </row>
    <row r="188" spans="1:2" x14ac:dyDescent="0.3">
      <c r="A188" s="2">
        <v>45937</v>
      </c>
      <c r="B188" s="3">
        <v>636.572136</v>
      </c>
    </row>
    <row r="189" spans="1:2" x14ac:dyDescent="0.3">
      <c r="A189" s="2">
        <v>45938</v>
      </c>
      <c r="B189" s="3">
        <v>636.97164099999998</v>
      </c>
    </row>
    <row r="190" spans="1:2" x14ac:dyDescent="0.3">
      <c r="A190" s="2">
        <v>45939</v>
      </c>
      <c r="B190" s="3">
        <v>637.371397</v>
      </c>
    </row>
    <row r="191" spans="1:2" x14ac:dyDescent="0.3">
      <c r="A191" s="2">
        <v>45940</v>
      </c>
      <c r="B191" s="3">
        <v>637.77140499999996</v>
      </c>
    </row>
    <row r="192" spans="1:2" x14ac:dyDescent="0.3">
      <c r="A192" s="2">
        <v>45943</v>
      </c>
      <c r="B192" s="3">
        <v>638.97293300000001</v>
      </c>
    </row>
    <row r="193" spans="1:2" x14ac:dyDescent="0.3">
      <c r="A193" s="2">
        <v>45944</v>
      </c>
      <c r="B193" s="3">
        <v>639.37394500000005</v>
      </c>
    </row>
    <row r="194" spans="1:2" x14ac:dyDescent="0.3">
      <c r="A194" s="2">
        <v>45945</v>
      </c>
      <c r="B194" s="3">
        <v>639.77520900000002</v>
      </c>
    </row>
    <row r="195" spans="1:2" x14ac:dyDescent="0.3">
      <c r="A195" s="2">
        <v>45946</v>
      </c>
      <c r="B195" s="3">
        <v>640.20426099999997</v>
      </c>
    </row>
    <row r="196" spans="1:2" x14ac:dyDescent="0.3">
      <c r="A196" s="2">
        <v>45947</v>
      </c>
      <c r="B196" s="3">
        <v>640.6336</v>
      </c>
    </row>
    <row r="197" spans="1:2" x14ac:dyDescent="0.3">
      <c r="A197" s="2">
        <v>45950</v>
      </c>
      <c r="B197" s="3">
        <v>641.92334800000003</v>
      </c>
    </row>
    <row r="198" spans="1:2" x14ac:dyDescent="0.3">
      <c r="A198" s="2">
        <v>45951</v>
      </c>
      <c r="B198" s="3">
        <v>642.35383999999999</v>
      </c>
    </row>
    <row r="199" spans="1:2" x14ac:dyDescent="0.3">
      <c r="A199" s="2">
        <v>45952</v>
      </c>
      <c r="B199" s="3">
        <v>642.78462200000001</v>
      </c>
    </row>
    <row r="200" spans="1:2" x14ac:dyDescent="0.3">
      <c r="A200" s="2">
        <v>45953</v>
      </c>
      <c r="B200" s="3">
        <v>643.21569199999999</v>
      </c>
    </row>
    <row r="201" spans="1:2" x14ac:dyDescent="0.3">
      <c r="A201" s="2">
        <v>45954</v>
      </c>
      <c r="B201" s="3">
        <v>643.64705100000003</v>
      </c>
    </row>
    <row r="202" spans="1:2" x14ac:dyDescent="0.3">
      <c r="A202" s="2">
        <v>45957</v>
      </c>
      <c r="B202" s="3">
        <v>644.94286499999998</v>
      </c>
    </row>
    <row r="203" spans="1:2" x14ac:dyDescent="0.3">
      <c r="A203" s="2">
        <v>45958</v>
      </c>
      <c r="B203" s="3">
        <v>645.37538300000006</v>
      </c>
    </row>
    <row r="204" spans="1:2" x14ac:dyDescent="0.3">
      <c r="A204" s="2">
        <v>45959</v>
      </c>
      <c r="B204" s="3">
        <v>645.80818999999997</v>
      </c>
    </row>
    <row r="205" spans="1:2" x14ac:dyDescent="0.3">
      <c r="A205" s="2">
        <v>45960</v>
      </c>
      <c r="B205" s="3">
        <v>646.24128800000005</v>
      </c>
    </row>
    <row r="206" spans="1:2" x14ac:dyDescent="0.3">
      <c r="A206" s="2">
        <v>45961</v>
      </c>
      <c r="B206" s="3">
        <v>646.67467699999997</v>
      </c>
    </row>
    <row r="207" spans="1:2" x14ac:dyDescent="0.3">
      <c r="A207" s="2">
        <v>45964</v>
      </c>
      <c r="B207" s="3">
        <v>647.976586</v>
      </c>
    </row>
    <row r="208" spans="1:2" x14ac:dyDescent="0.3">
      <c r="A208" s="2">
        <v>45965</v>
      </c>
      <c r="B208" s="3">
        <v>648.41113800000005</v>
      </c>
    </row>
    <row r="209" spans="1:2" x14ac:dyDescent="0.3">
      <c r="A209" s="2">
        <v>45966</v>
      </c>
      <c r="B209" s="3">
        <v>648.84598200000005</v>
      </c>
    </row>
    <row r="210" spans="1:2" x14ac:dyDescent="0.3">
      <c r="A210" s="2">
        <v>45968</v>
      </c>
      <c r="B210" s="3">
        <v>649.716544</v>
      </c>
    </row>
    <row r="211" spans="1:2" x14ac:dyDescent="0.3">
      <c r="A211" s="2">
        <v>45971</v>
      </c>
      <c r="B211" s="3">
        <v>651.02457700000002</v>
      </c>
    </row>
    <row r="212" spans="1:2" x14ac:dyDescent="0.3">
      <c r="A212" s="2">
        <v>45972</v>
      </c>
      <c r="B212" s="3">
        <v>651.46117400000003</v>
      </c>
    </row>
    <row r="213" spans="1:2" x14ac:dyDescent="0.3">
      <c r="A213" s="2">
        <v>45973</v>
      </c>
      <c r="B213" s="3">
        <v>651.89806199999998</v>
      </c>
    </row>
    <row r="214" spans="1:2" x14ac:dyDescent="0.3">
      <c r="A214" s="2">
        <v>45974</v>
      </c>
      <c r="B214" s="3">
        <v>652.33524399999999</v>
      </c>
    </row>
    <row r="215" spans="1:2" x14ac:dyDescent="0.3">
      <c r="A215" s="2">
        <v>45975</v>
      </c>
      <c r="B215" s="3">
        <v>652.77271900000005</v>
      </c>
    </row>
    <row r="216" spans="1:2" x14ac:dyDescent="0.3">
      <c r="A216" s="2">
        <v>45978</v>
      </c>
      <c r="B216" s="3">
        <v>654.20148400000005</v>
      </c>
    </row>
    <row r="217" spans="1:2" x14ac:dyDescent="0.3">
      <c r="A217" s="2">
        <v>45979</v>
      </c>
      <c r="B217" s="3">
        <v>654.69754499999999</v>
      </c>
    </row>
    <row r="218" spans="1:2" x14ac:dyDescent="0.3">
      <c r="A218" s="2">
        <v>45980</v>
      </c>
      <c r="B218" s="3">
        <v>655.193983</v>
      </c>
    </row>
    <row r="219" spans="1:2" x14ac:dyDescent="0.3">
      <c r="A219" s="2">
        <v>45981</v>
      </c>
      <c r="B219" s="3">
        <v>655.69079699999998</v>
      </c>
    </row>
    <row r="220" spans="1:2" x14ac:dyDescent="0.3">
      <c r="A220" s="2">
        <v>45986</v>
      </c>
      <c r="B220" s="3">
        <v>658.18052399999999</v>
      </c>
    </row>
    <row r="221" spans="1:2" x14ac:dyDescent="0.3">
      <c r="A221" s="2">
        <v>45987</v>
      </c>
      <c r="B221" s="3">
        <v>658.67960300000004</v>
      </c>
    </row>
    <row r="222" spans="1:2" x14ac:dyDescent="0.3">
      <c r="A222" s="2">
        <v>45988</v>
      </c>
      <c r="B222" s="3">
        <v>659.17906000000005</v>
      </c>
    </row>
    <row r="223" spans="1:2" x14ac:dyDescent="0.3">
      <c r="A223" s="2">
        <v>45989</v>
      </c>
      <c r="B223" s="3">
        <v>659.67889600000001</v>
      </c>
    </row>
    <row r="224" spans="1:2" x14ac:dyDescent="0.3">
      <c r="A224" s="2">
        <v>45992</v>
      </c>
      <c r="B224" s="3">
        <v>661.18067799999994</v>
      </c>
    </row>
    <row r="225" spans="1:2" x14ac:dyDescent="0.3">
      <c r="A225" s="2">
        <v>45993</v>
      </c>
      <c r="B225" s="3">
        <v>661.68203200000005</v>
      </c>
    </row>
    <row r="226" spans="1:2" x14ac:dyDescent="0.3">
      <c r="A226" s="2">
        <v>45994</v>
      </c>
      <c r="B226" s="3">
        <v>662.18376599999999</v>
      </c>
    </row>
    <row r="227" spans="1:2" x14ac:dyDescent="0.3">
      <c r="A227" s="2">
        <v>45995</v>
      </c>
      <c r="B227" s="3">
        <v>662.68588</v>
      </c>
    </row>
    <row r="228" spans="1:2" x14ac:dyDescent="0.3">
      <c r="A228" s="2">
        <v>45996</v>
      </c>
      <c r="B228" s="3">
        <v>663.18837499999995</v>
      </c>
    </row>
    <row r="229" spans="1:2" x14ac:dyDescent="0.3">
      <c r="A229" s="2">
        <v>46000</v>
      </c>
      <c r="B229" s="3">
        <v>665.20216800000003</v>
      </c>
    </row>
    <row r="230" spans="1:2" x14ac:dyDescent="0.3">
      <c r="A230" s="2">
        <v>46001</v>
      </c>
      <c r="B230" s="3">
        <v>665.70657100000005</v>
      </c>
    </row>
    <row r="231" spans="1:2" x14ac:dyDescent="0.3">
      <c r="A231" s="2">
        <v>46002</v>
      </c>
      <c r="B231" s="3">
        <v>666.21135700000002</v>
      </c>
    </row>
    <row r="232" spans="1:2" x14ac:dyDescent="0.3">
      <c r="A232" s="2">
        <v>46003</v>
      </c>
      <c r="B232" s="3">
        <v>666.71652500000005</v>
      </c>
    </row>
    <row r="233" spans="1:2" x14ac:dyDescent="0.3">
      <c r="A233" s="2">
        <v>46006</v>
      </c>
      <c r="B233" s="3">
        <v>668.23429999999996</v>
      </c>
    </row>
    <row r="234" spans="1:2" x14ac:dyDescent="0.3">
      <c r="A234" s="2">
        <v>46007</v>
      </c>
      <c r="B234" s="3">
        <v>668.76679999999999</v>
      </c>
    </row>
    <row r="235" spans="1:2" x14ac:dyDescent="0.3">
      <c r="A235" s="2">
        <v>46008</v>
      </c>
      <c r="B235" s="3">
        <v>669.29970000000003</v>
      </c>
    </row>
    <row r="236" spans="1:2" x14ac:dyDescent="0.3">
      <c r="A236" s="2">
        <v>46009</v>
      </c>
      <c r="B236" s="3">
        <v>669.83309999999994</v>
      </c>
    </row>
    <row r="237" spans="1:2" x14ac:dyDescent="0.3">
      <c r="A237" s="2">
        <v>46010</v>
      </c>
      <c r="B237" s="3">
        <v>670.36680000000001</v>
      </c>
    </row>
    <row r="238" spans="1:2" x14ac:dyDescent="0.3">
      <c r="A238" s="2">
        <v>46013</v>
      </c>
      <c r="B238" s="3">
        <v>671.97059999999999</v>
      </c>
    </row>
    <row r="239" spans="1:2" x14ac:dyDescent="0.3">
      <c r="A239" s="2">
        <v>46014</v>
      </c>
      <c r="B239" s="3">
        <v>672.50609999999995</v>
      </c>
    </row>
    <row r="240" spans="1:2" x14ac:dyDescent="0.3">
      <c r="A240" s="2">
        <v>46017</v>
      </c>
      <c r="B240" s="3">
        <v>674.11509999999998</v>
      </c>
    </row>
    <row r="241" spans="1:2" x14ac:dyDescent="0.3">
      <c r="A241" s="2">
        <v>46020</v>
      </c>
      <c r="B241" s="3">
        <v>675.72789999999998</v>
      </c>
    </row>
    <row r="242" spans="1:2" x14ac:dyDescent="0.3">
      <c r="A242" s="2">
        <v>46021</v>
      </c>
      <c r="B242" s="3">
        <v>676.2663</v>
      </c>
    </row>
    <row r="243" spans="1:2" x14ac:dyDescent="0.3">
      <c r="A243" s="2">
        <v>46024</v>
      </c>
      <c r="B243" s="3">
        <v>677.88419999999996</v>
      </c>
    </row>
    <row r="244" spans="1:2" x14ac:dyDescent="0.3">
      <c r="A244" s="2">
        <v>46027</v>
      </c>
      <c r="B244" s="3">
        <v>679.50609999999995</v>
      </c>
    </row>
    <row r="245" spans="1:2" x14ac:dyDescent="0.3">
      <c r="A245" s="2">
        <v>46028</v>
      </c>
      <c r="B245" s="3">
        <v>680.04750000000001</v>
      </c>
    </row>
    <row r="246" spans="1:2" x14ac:dyDescent="0.3">
      <c r="A246" s="2">
        <v>46029</v>
      </c>
      <c r="B246" s="3">
        <v>680.58939999999996</v>
      </c>
    </row>
    <row r="247" spans="1:2" x14ac:dyDescent="0.3">
      <c r="A247" s="2">
        <v>46030</v>
      </c>
      <c r="B247" s="3">
        <v>681.1318</v>
      </c>
    </row>
    <row r="248" spans="1:2" x14ac:dyDescent="0.3">
      <c r="A248" s="2">
        <v>46031</v>
      </c>
      <c r="B248" s="3">
        <v>681.67449999999997</v>
      </c>
    </row>
    <row r="249" spans="1:2" x14ac:dyDescent="0.3">
      <c r="A249" s="2">
        <v>46034</v>
      </c>
      <c r="B249" s="3">
        <v>683.30539999999996</v>
      </c>
    </row>
    <row r="250" spans="1:2" x14ac:dyDescent="0.3">
      <c r="A250" s="2">
        <v>46035</v>
      </c>
      <c r="B250" s="3">
        <v>683.84990000000005</v>
      </c>
    </row>
    <row r="251" spans="1:2" x14ac:dyDescent="0.3">
      <c r="A251" s="2">
        <v>46036</v>
      </c>
      <c r="B251" s="3">
        <v>684.39480000000003</v>
      </c>
    </row>
    <row r="252" spans="1:2" x14ac:dyDescent="0.3">
      <c r="A252" s="2">
        <v>46037</v>
      </c>
      <c r="B252" s="3">
        <v>684.9402</v>
      </c>
    </row>
    <row r="253" spans="1:2" x14ac:dyDescent="0.3">
      <c r="A253" s="2">
        <v>46038</v>
      </c>
      <c r="B253" s="3">
        <v>685.55060000000003</v>
      </c>
    </row>
    <row r="254" spans="1:2" x14ac:dyDescent="0.3">
      <c r="A254" s="2">
        <v>46041</v>
      </c>
      <c r="B254" s="3">
        <v>687.38520000000005</v>
      </c>
    </row>
    <row r="255" spans="1:2" x14ac:dyDescent="0.3">
      <c r="A255" s="2">
        <v>46042</v>
      </c>
      <c r="B255" s="3">
        <v>687.99779999999998</v>
      </c>
    </row>
    <row r="256" spans="1:2" x14ac:dyDescent="0.3">
      <c r="A256" s="2">
        <v>46043</v>
      </c>
      <c r="B256" s="3">
        <v>688.61090000000002</v>
      </c>
    </row>
    <row r="257" spans="1:2" x14ac:dyDescent="0.3">
      <c r="A257" s="2">
        <v>46044</v>
      </c>
      <c r="B257" s="3">
        <v>689.22460000000001</v>
      </c>
    </row>
    <row r="258" spans="1:2" x14ac:dyDescent="0.3">
      <c r="A258" s="2">
        <v>46045</v>
      </c>
      <c r="B258" s="3">
        <v>689.83879999999999</v>
      </c>
    </row>
    <row r="259" spans="1:2" x14ac:dyDescent="0.3">
      <c r="A259" s="2">
        <v>46048</v>
      </c>
      <c r="B259" s="3">
        <v>691.68489999999997</v>
      </c>
    </row>
    <row r="260" spans="1:2" x14ac:dyDescent="0.3">
      <c r="A260" s="2">
        <v>46049</v>
      </c>
      <c r="B260" s="3">
        <v>692.30129999999997</v>
      </c>
    </row>
    <row r="261" spans="1:2" x14ac:dyDescent="0.3">
      <c r="A261" s="2">
        <v>46050</v>
      </c>
      <c r="B261" s="3">
        <v>692.91830000000004</v>
      </c>
    </row>
    <row r="262" spans="1:2" x14ac:dyDescent="0.3">
      <c r="A262" s="2">
        <v>46051</v>
      </c>
      <c r="B262" s="3">
        <v>693.53579999999999</v>
      </c>
    </row>
    <row r="263" spans="1:2" x14ac:dyDescent="0.3">
      <c r="A263" s="2">
        <v>46052</v>
      </c>
      <c r="B263" s="3">
        <v>694.15390000000002</v>
      </c>
    </row>
    <row r="264" spans="1:2" x14ac:dyDescent="0.3">
      <c r="A264" s="2">
        <v>46055</v>
      </c>
      <c r="B264" s="3">
        <v>696.01149999999996</v>
      </c>
    </row>
    <row r="265" spans="1:2" x14ac:dyDescent="0.3">
      <c r="A265" s="2">
        <v>46056</v>
      </c>
      <c r="B265" s="3">
        <v>696.6318</v>
      </c>
    </row>
    <row r="266" spans="1:2" x14ac:dyDescent="0.3">
      <c r="A266" s="2">
        <v>46057</v>
      </c>
      <c r="B266" s="3">
        <v>697.25260000000003</v>
      </c>
    </row>
    <row r="267" spans="1:2" x14ac:dyDescent="0.3">
      <c r="A267" s="2">
        <v>46058</v>
      </c>
      <c r="B267" s="3">
        <v>697.87400000000002</v>
      </c>
    </row>
    <row r="268" spans="1:2" x14ac:dyDescent="0.3">
      <c r="A268" s="2">
        <v>46059</v>
      </c>
      <c r="B268" s="3">
        <v>698.49590000000001</v>
      </c>
    </row>
    <row r="269" spans="1:2" x14ac:dyDescent="0.3">
      <c r="A269" s="2">
        <v>46062</v>
      </c>
      <c r="B269" s="3">
        <v>700.36509999999998</v>
      </c>
    </row>
    <row r="270" spans="1:2" x14ac:dyDescent="0.3">
      <c r="A270" s="2">
        <v>46063</v>
      </c>
      <c r="B270" s="3">
        <v>700.98929999999996</v>
      </c>
    </row>
    <row r="271" spans="1:2" x14ac:dyDescent="0.3">
      <c r="A271" s="2">
        <v>46064</v>
      </c>
      <c r="B271" s="3">
        <v>701.61400000000003</v>
      </c>
    </row>
    <row r="272" spans="1:2" x14ac:dyDescent="0.3">
      <c r="A272" s="2">
        <v>46065</v>
      </c>
      <c r="B272" s="3">
        <v>702.23929999999996</v>
      </c>
    </row>
    <row r="273" spans="1:2" x14ac:dyDescent="0.3">
      <c r="A273" s="2">
        <v>46066</v>
      </c>
      <c r="B273" s="3">
        <v>702.86519999999996</v>
      </c>
    </row>
    <row r="274" spans="1:2" x14ac:dyDescent="0.3">
      <c r="A274" s="2">
        <v>46071</v>
      </c>
      <c r="B274" s="3">
        <v>706.27850000000001</v>
      </c>
    </row>
    <row r="275" spans="1:2" x14ac:dyDescent="0.3">
      <c r="A275" s="2">
        <v>46072</v>
      </c>
      <c r="B275" s="3">
        <v>707</v>
      </c>
    </row>
    <row r="276" spans="1:2" x14ac:dyDescent="0.3">
      <c r="A276" s="2">
        <v>46073</v>
      </c>
      <c r="B276" s="3">
        <v>707.72220000000004</v>
      </c>
    </row>
    <row r="277" spans="1:2" x14ac:dyDescent="0.3">
      <c r="A277" s="2">
        <v>46076</v>
      </c>
      <c r="B277" s="3">
        <v>709.89319999999998</v>
      </c>
    </row>
    <row r="278" spans="1:2" x14ac:dyDescent="0.3">
      <c r="A278" s="2">
        <v>46077</v>
      </c>
      <c r="B278" s="3">
        <v>710.61839999999995</v>
      </c>
    </row>
    <row r="279" spans="1:2" x14ac:dyDescent="0.3">
      <c r="A279" s="2">
        <v>46078</v>
      </c>
      <c r="B279" s="3">
        <v>711.3442</v>
      </c>
    </row>
    <row r="280" spans="1:2" x14ac:dyDescent="0.3">
      <c r="A280" s="2">
        <v>46079</v>
      </c>
      <c r="B280" s="3">
        <v>712.07090000000005</v>
      </c>
    </row>
    <row r="281" spans="1:2" x14ac:dyDescent="0.3">
      <c r="A281" s="2">
        <v>46080</v>
      </c>
      <c r="B281" s="3">
        <v>712.79830000000004</v>
      </c>
    </row>
    <row r="282" spans="1:2" x14ac:dyDescent="0.3">
      <c r="A282" s="2">
        <v>46083</v>
      </c>
      <c r="B282" s="3">
        <v>714.98490000000004</v>
      </c>
    </row>
    <row r="283" spans="1:2" x14ac:dyDescent="0.3">
      <c r="A283" s="2">
        <v>46084</v>
      </c>
      <c r="B283" s="3">
        <v>715.71519999999998</v>
      </c>
    </row>
    <row r="284" spans="1:2" x14ac:dyDescent="0.3">
      <c r="A284" s="2">
        <v>46085</v>
      </c>
      <c r="B284" s="3">
        <v>716.44629999999995</v>
      </c>
    </row>
    <row r="285" spans="1:2" x14ac:dyDescent="0.3">
      <c r="A285" s="2">
        <v>46086</v>
      </c>
      <c r="B285" s="3">
        <v>717.17819999999995</v>
      </c>
    </row>
    <row r="286" spans="1:2" x14ac:dyDescent="0.3">
      <c r="A286" s="2">
        <v>46087</v>
      </c>
      <c r="B286" s="3">
        <v>717.91079999999999</v>
      </c>
    </row>
    <row r="287" spans="1:2" x14ac:dyDescent="0.3">
      <c r="A287" s="2">
        <v>46090</v>
      </c>
      <c r="B287" s="3">
        <v>720.11310000000003</v>
      </c>
    </row>
    <row r="288" spans="1:2" x14ac:dyDescent="0.3">
      <c r="A288" s="2">
        <v>46091</v>
      </c>
      <c r="B288" s="3">
        <v>720.84870000000001</v>
      </c>
    </row>
    <row r="289" spans="1:2" x14ac:dyDescent="0.3">
      <c r="A289" s="2">
        <v>46092</v>
      </c>
      <c r="B289" s="3">
        <v>721.58500000000004</v>
      </c>
    </row>
    <row r="290" spans="1:2" x14ac:dyDescent="0.3">
      <c r="A290" s="2">
        <v>46093</v>
      </c>
      <c r="B290" s="3">
        <v>722.32209999999998</v>
      </c>
    </row>
    <row r="291" spans="1:2" x14ac:dyDescent="0.3">
      <c r="A291" s="2">
        <v>46094</v>
      </c>
      <c r="B291" s="3">
        <v>723.06</v>
      </c>
    </row>
    <row r="292" spans="1:2" x14ac:dyDescent="0.3">
      <c r="A292" s="2">
        <v>46097</v>
      </c>
      <c r="B292" s="3">
        <v>725.20640921375002</v>
      </c>
    </row>
    <row r="293" spans="1:2" x14ac:dyDescent="0.3">
      <c r="A293" s="2">
        <v>46098</v>
      </c>
      <c r="B293" s="3">
        <v>725.87548563500002</v>
      </c>
    </row>
    <row r="294" spans="1:2" x14ac:dyDescent="0.3">
      <c r="A294" s="2">
        <v>46099</v>
      </c>
      <c r="B294" s="3">
        <v>726.54517934707997</v>
      </c>
    </row>
    <row r="295" spans="1:2" x14ac:dyDescent="0.3">
      <c r="A295" s="2">
        <v>46100</v>
      </c>
      <c r="B295" s="3">
        <v>727.21549091947998</v>
      </c>
    </row>
    <row r="296" spans="1:2" x14ac:dyDescent="0.3">
      <c r="A296" s="2">
        <v>46101</v>
      </c>
      <c r="B296" s="3">
        <v>727.88642092225996</v>
      </c>
    </row>
    <row r="297" spans="1:2" x14ac:dyDescent="0.3">
      <c r="A297" s="2">
        <v>46106</v>
      </c>
      <c r="B297" s="3">
        <v>731.25036737988</v>
      </c>
    </row>
    <row r="298" spans="1:2" x14ac:dyDescent="0.3">
      <c r="A298" s="2">
        <v>46107</v>
      </c>
      <c r="B298" s="3">
        <v>731.92501996517001</v>
      </c>
    </row>
    <row r="299" spans="1:2" x14ac:dyDescent="0.3">
      <c r="A299" s="2">
        <v>46108</v>
      </c>
      <c r="B299" s="3">
        <v>732.60029498586005</v>
      </c>
    </row>
    <row r="300" spans="1:2" x14ac:dyDescent="0.3">
      <c r="A300" s="2">
        <v>46111</v>
      </c>
      <c r="B300" s="3">
        <v>734.62986040553994</v>
      </c>
    </row>
    <row r="301" spans="1:2" x14ac:dyDescent="0.3">
      <c r="A301" s="2">
        <v>46112</v>
      </c>
      <c r="B301" s="3">
        <v>735.30763091569997</v>
      </c>
    </row>
    <row r="302" spans="1:2" x14ac:dyDescent="0.3">
      <c r="A302" s="2">
        <v>46113</v>
      </c>
      <c r="B302" s="3">
        <v>735.98602673786002</v>
      </c>
    </row>
    <row r="303" spans="1:2" x14ac:dyDescent="0.3">
      <c r="A303" s="2">
        <v>46118</v>
      </c>
      <c r="B303" s="3">
        <v>739.38740573922996</v>
      </c>
    </row>
    <row r="304" spans="1:2" x14ac:dyDescent="0.3">
      <c r="A304" s="2">
        <v>46119</v>
      </c>
      <c r="B304" s="3">
        <v>740.06956556720002</v>
      </c>
    </row>
    <row r="305" spans="1:2" x14ac:dyDescent="0.3">
      <c r="A305" s="2">
        <v>46120</v>
      </c>
      <c r="B305" s="3">
        <v>740.75235475676004</v>
      </c>
    </row>
    <row r="306" spans="1:2" x14ac:dyDescent="0.3">
      <c r="A306" s="2">
        <v>46121</v>
      </c>
      <c r="B306" s="3">
        <v>741.43577388854999</v>
      </c>
    </row>
    <row r="307" spans="1:2" x14ac:dyDescent="0.3">
      <c r="A307" s="2">
        <v>46122</v>
      </c>
      <c r="B307" s="3">
        <v>742.11982354377005</v>
      </c>
    </row>
    <row r="308" spans="1:2" x14ac:dyDescent="0.3">
      <c r="A308" s="2">
        <v>46125</v>
      </c>
      <c r="B308" s="3">
        <v>744.17576146985004</v>
      </c>
    </row>
    <row r="309" spans="1:2" x14ac:dyDescent="0.3">
      <c r="A309" s="2">
        <v>46126</v>
      </c>
      <c r="B309" s="3">
        <v>744.86233904134997</v>
      </c>
    </row>
    <row r="310" spans="1:2" x14ac:dyDescent="0.3">
      <c r="A310" s="2">
        <v>46127</v>
      </c>
      <c r="B310" s="3">
        <v>745.54955005023999</v>
      </c>
    </row>
    <row r="311" spans="1:2" x14ac:dyDescent="0.3">
      <c r="A311" s="2">
        <v>46128</v>
      </c>
      <c r="B311" s="3">
        <v>746.38092265237003</v>
      </c>
    </row>
    <row r="312" spans="1:2" x14ac:dyDescent="0.3">
      <c r="A312" s="2">
        <v>46129</v>
      </c>
      <c r="B312" s="3">
        <v>747.21322232958005</v>
      </c>
    </row>
    <row r="313" spans="1:2" x14ac:dyDescent="0.3">
      <c r="A313" s="2">
        <v>46132</v>
      </c>
      <c r="B313" s="3">
        <v>749.71569415532997</v>
      </c>
    </row>
    <row r="314" spans="1:2" x14ac:dyDescent="0.3">
      <c r="A314" s="2">
        <v>46133</v>
      </c>
      <c r="B314" s="3">
        <v>750.55171248229999</v>
      </c>
    </row>
    <row r="315" spans="1:2" x14ac:dyDescent="0.3">
      <c r="A315" s="2">
        <v>46134</v>
      </c>
      <c r="B315" s="3">
        <v>751.38866306486</v>
      </c>
    </row>
    <row r="316" spans="1:2" x14ac:dyDescent="0.3">
      <c r="A316" s="2">
        <v>46135</v>
      </c>
      <c r="B316" s="3">
        <v>752.22654694257994</v>
      </c>
    </row>
    <row r="317" spans="1:2" x14ac:dyDescent="0.3">
      <c r="A317" s="2">
        <v>46136</v>
      </c>
      <c r="B317" s="3">
        <v>753.06536515617995</v>
      </c>
    </row>
    <row r="318" spans="1:2" x14ac:dyDescent="0.3">
      <c r="A318" s="2">
        <v>46139</v>
      </c>
      <c r="B318" s="3">
        <v>755.58743623701002</v>
      </c>
    </row>
    <row r="319" spans="1:2" x14ac:dyDescent="0.3">
      <c r="A319" s="2">
        <v>46140</v>
      </c>
      <c r="B319" s="3">
        <v>756.43000222469004</v>
      </c>
    </row>
    <row r="320" spans="1:2" x14ac:dyDescent="0.3">
      <c r="A320" s="2">
        <v>46141</v>
      </c>
      <c r="B320" s="3">
        <v>757.27350776933997</v>
      </c>
    </row>
    <row r="321" spans="1:2" x14ac:dyDescent="0.3">
      <c r="A321" s="2">
        <v>46142</v>
      </c>
      <c r="B321" s="3">
        <v>758.11795391867997</v>
      </c>
    </row>
    <row r="322" spans="1:2" x14ac:dyDescent="0.3">
      <c r="A322" s="2">
        <v>46146</v>
      </c>
      <c r="B322" s="3">
        <v>761.50516555803995</v>
      </c>
    </row>
    <row r="323" spans="1:2" x14ac:dyDescent="0.3">
      <c r="A323" s="2">
        <v>46147</v>
      </c>
      <c r="B323" s="3">
        <v>762.35433048744005</v>
      </c>
    </row>
    <row r="324" spans="1:2" x14ac:dyDescent="0.3">
      <c r="A324" s="2">
        <v>46148</v>
      </c>
      <c r="B324" s="3">
        <v>763.20444233237004</v>
      </c>
    </row>
    <row r="325" spans="1:2" x14ac:dyDescent="0.3">
      <c r="A325" s="2">
        <v>46149</v>
      </c>
      <c r="B325" s="3">
        <v>764.05550214875996</v>
      </c>
    </row>
    <row r="326" spans="1:2" x14ac:dyDescent="0.3">
      <c r="A326" s="2">
        <v>46150</v>
      </c>
      <c r="B326" s="3">
        <v>764.90751099372005</v>
      </c>
    </row>
    <row r="327" spans="1:2" x14ac:dyDescent="0.3">
      <c r="A327" s="2">
        <v>46153</v>
      </c>
      <c r="B327" s="3">
        <v>767.46924228856994</v>
      </c>
    </row>
    <row r="328" spans="1:2" x14ac:dyDescent="0.3">
      <c r="A328" s="2">
        <v>46154</v>
      </c>
      <c r="B328" s="3">
        <v>768.32505784231</v>
      </c>
    </row>
    <row r="329" spans="1:2" x14ac:dyDescent="0.3">
      <c r="A329" s="2">
        <v>46155</v>
      </c>
      <c r="B329" s="3">
        <v>769.18182772780006</v>
      </c>
    </row>
    <row r="330" spans="1:2" x14ac:dyDescent="0.3">
      <c r="A330" s="2">
        <v>46156</v>
      </c>
      <c r="B330" s="3">
        <v>770.03955300921996</v>
      </c>
    </row>
    <row r="331" spans="1:2" x14ac:dyDescent="0.3">
      <c r="A331" s="2">
        <v>46157</v>
      </c>
      <c r="B331" s="3">
        <v>770.89823475194999</v>
      </c>
    </row>
    <row r="332" spans="1:2" x14ac:dyDescent="0.3">
      <c r="A332" s="2">
        <v>46160</v>
      </c>
      <c r="B332" s="3">
        <v>772.81550731695995</v>
      </c>
    </row>
    <row r="333" spans="1:2" x14ac:dyDescent="0.3">
      <c r="A333" s="2">
        <v>46161</v>
      </c>
      <c r="B333" s="3">
        <v>773.45565722644994</v>
      </c>
    </row>
    <row r="334" spans="1:2" x14ac:dyDescent="0.3">
      <c r="A334" s="2">
        <v>46162</v>
      </c>
      <c r="B334" s="3">
        <v>774.09633739433002</v>
      </c>
    </row>
    <row r="335" spans="1:2" x14ac:dyDescent="0.3">
      <c r="A335" s="2">
        <v>46163</v>
      </c>
      <c r="B335" s="3">
        <v>774.73754825983997</v>
      </c>
    </row>
    <row r="336" spans="1:2" x14ac:dyDescent="0.3">
      <c r="A336" s="2">
        <v>46164</v>
      </c>
      <c r="B336" s="3">
        <v>775.37929026255995</v>
      </c>
    </row>
    <row r="337" spans="1:2" x14ac:dyDescent="0.3">
      <c r="A337" s="2">
        <v>46168</v>
      </c>
      <c r="B337" s="3">
        <v>777.95157845026995</v>
      </c>
    </row>
    <row r="338" spans="1:2" x14ac:dyDescent="0.3">
      <c r="A338" s="2">
        <v>46169</v>
      </c>
      <c r="B338" s="3">
        <v>778.59598274576001</v>
      </c>
    </row>
    <row r="339" spans="1:2" x14ac:dyDescent="0.3">
      <c r="A339" s="2">
        <v>46170</v>
      </c>
      <c r="B339" s="3">
        <v>779.24092082369998</v>
      </c>
    </row>
    <row r="340" spans="1:2" x14ac:dyDescent="0.3">
      <c r="A340" s="2">
        <v>46171</v>
      </c>
      <c r="B340" s="3">
        <v>779.88639312623002</v>
      </c>
    </row>
    <row r="341" spans="1:2" x14ac:dyDescent="0.3">
      <c r="A341" s="2">
        <v>46174</v>
      </c>
      <c r="B341" s="3">
        <v>781.82601980840002</v>
      </c>
    </row>
    <row r="342" spans="1:2" x14ac:dyDescent="0.3">
      <c r="A342" s="2">
        <v>46175</v>
      </c>
      <c r="B342" s="3">
        <v>782.47363343815005</v>
      </c>
    </row>
    <row r="343" spans="1:2" x14ac:dyDescent="0.3">
      <c r="A343" s="2">
        <v>46176</v>
      </c>
      <c r="B343" s="3">
        <v>783.12178350875001</v>
      </c>
    </row>
    <row r="344" spans="1:2" x14ac:dyDescent="0.3">
      <c r="A344" s="2">
        <v>46177</v>
      </c>
      <c r="B344" s="3">
        <v>783.77047046455004</v>
      </c>
    </row>
    <row r="345" spans="1:2" x14ac:dyDescent="0.3">
      <c r="A345" s="2">
        <v>46178</v>
      </c>
      <c r="B345" s="3">
        <v>784.41969475026997</v>
      </c>
    </row>
    <row r="346" spans="1:2" x14ac:dyDescent="0.3">
      <c r="A346" s="2">
        <v>46181</v>
      </c>
      <c r="B346" s="3">
        <v>786.37059603969999</v>
      </c>
    </row>
    <row r="347" spans="1:2" x14ac:dyDescent="0.3">
      <c r="A347" s="2">
        <v>46182</v>
      </c>
      <c r="B347" s="3">
        <v>787.02197409968005</v>
      </c>
    </row>
    <row r="348" spans="1:2" x14ac:dyDescent="0.3">
      <c r="A348" s="2">
        <v>46183</v>
      </c>
      <c r="B348" s="3">
        <v>787.67389171873003</v>
      </c>
    </row>
    <row r="349" spans="1:2" x14ac:dyDescent="0.3">
      <c r="A349" s="2">
        <v>46184</v>
      </c>
      <c r="B349" s="3">
        <v>788.32634934375994</v>
      </c>
    </row>
    <row r="350" spans="1:2" x14ac:dyDescent="0.3">
      <c r="A350" s="2">
        <v>46185</v>
      </c>
      <c r="B350" s="3">
        <v>788.97934742209998</v>
      </c>
    </row>
    <row r="351" spans="1:2" x14ac:dyDescent="0.3">
      <c r="A351" s="2">
        <v>46189</v>
      </c>
      <c r="B351" s="3">
        <v>791.48970450621005</v>
      </c>
    </row>
    <row r="352" spans="1:2" x14ac:dyDescent="0.3">
      <c r="A352" s="2">
        <v>46190</v>
      </c>
      <c r="B352" s="3">
        <v>792.03819999631003</v>
      </c>
    </row>
    <row r="353" spans="1:2" x14ac:dyDescent="0.3">
      <c r="A353" s="2">
        <v>46191</v>
      </c>
      <c r="B353" s="3">
        <v>792.58707558901995</v>
      </c>
    </row>
    <row r="354" spans="1:2" x14ac:dyDescent="0.3">
      <c r="A354" s="2">
        <v>46192</v>
      </c>
      <c r="B354" s="3">
        <v>793.13633154774004</v>
      </c>
    </row>
    <row r="355" spans="1:2" x14ac:dyDescent="0.3">
      <c r="A355" s="2">
        <v>46195</v>
      </c>
      <c r="B355" s="3">
        <v>794.78638425684005</v>
      </c>
    </row>
    <row r="356" spans="1:2" x14ac:dyDescent="0.3">
      <c r="A356" s="2">
        <v>46196</v>
      </c>
      <c r="B356" s="3">
        <v>795.33716431737002</v>
      </c>
    </row>
    <row r="357" spans="1:2" x14ac:dyDescent="0.3">
      <c r="A357" s="2">
        <v>46197</v>
      </c>
      <c r="B357" s="3">
        <v>795.88832606369999</v>
      </c>
    </row>
    <row r="358" spans="1:2" x14ac:dyDescent="0.3">
      <c r="A358" s="2">
        <v>46198</v>
      </c>
      <c r="B358" s="3">
        <v>796.43986976033</v>
      </c>
    </row>
    <row r="359" spans="1:2" x14ac:dyDescent="0.3">
      <c r="A359" s="2">
        <v>46199</v>
      </c>
      <c r="B359" s="3">
        <v>796.99179567194994</v>
      </c>
    </row>
    <row r="360" spans="1:2" x14ac:dyDescent="0.3">
      <c r="A360" s="2">
        <v>46202</v>
      </c>
      <c r="B360" s="3">
        <v>798.64986934639001</v>
      </c>
    </row>
    <row r="361" spans="1:2" x14ac:dyDescent="0.3">
      <c r="A361" s="2">
        <v>46203</v>
      </c>
      <c r="B361" s="3">
        <v>799.20332676852001</v>
      </c>
    </row>
    <row r="362" spans="1:2" x14ac:dyDescent="0.3">
      <c r="A362" s="2">
        <v>46204</v>
      </c>
      <c r="B362" s="3">
        <v>799.75716773184001</v>
      </c>
    </row>
    <row r="363" spans="1:2" x14ac:dyDescent="0.3">
      <c r="A363" s="2">
        <v>46205</v>
      </c>
      <c r="B363" s="3">
        <v>800.31139250214005</v>
      </c>
    </row>
    <row r="364" spans="1:2" x14ac:dyDescent="0.3">
      <c r="A364" s="2">
        <v>46206</v>
      </c>
      <c r="B364" s="3">
        <v>800.86600134539003</v>
      </c>
    </row>
    <row r="365" spans="1:2" x14ac:dyDescent="0.3">
      <c r="A365" s="2">
        <v>46209</v>
      </c>
      <c r="B365" s="3">
        <v>802.53213497537001</v>
      </c>
    </row>
    <row r="366" spans="1:2" x14ac:dyDescent="0.3">
      <c r="A366" s="2">
        <v>46210</v>
      </c>
      <c r="B366" s="3">
        <v>803.08828277385999</v>
      </c>
    </row>
    <row r="367" spans="1:2" x14ac:dyDescent="0.3">
      <c r="A367" s="2">
        <v>46211</v>
      </c>
      <c r="B367" s="3">
        <v>803.64481597794997</v>
      </c>
    </row>
    <row r="368" spans="1:2" x14ac:dyDescent="0.3">
      <c r="A368" s="2">
        <v>46216</v>
      </c>
      <c r="B368" s="3">
        <v>806.43327243666999</v>
      </c>
    </row>
    <row r="369" spans="1:2" x14ac:dyDescent="0.3">
      <c r="A369" s="2">
        <v>46217</v>
      </c>
      <c r="B369" s="3">
        <v>806.99212368953999</v>
      </c>
    </row>
    <row r="370" spans="1:2" x14ac:dyDescent="0.3">
      <c r="A370" s="2">
        <v>46218</v>
      </c>
      <c r="B370" s="3">
        <v>807.55136222146996</v>
      </c>
    </row>
    <row r="371" spans="1:2" x14ac:dyDescent="0.3">
      <c r="A371" s="2">
        <v>46219</v>
      </c>
      <c r="B371" s="3">
        <v>808.04181862256996</v>
      </c>
    </row>
    <row r="372" spans="1:2" x14ac:dyDescent="0.3">
      <c r="A372" s="2">
        <v>46220</v>
      </c>
      <c r="B372" s="3">
        <v>808.53257289634996</v>
      </c>
    </row>
    <row r="373" spans="1:2" x14ac:dyDescent="0.3">
      <c r="A373" s="2">
        <v>46223</v>
      </c>
      <c r="B373" s="3">
        <v>810.00662476334003</v>
      </c>
    </row>
    <row r="374" spans="1:2" x14ac:dyDescent="0.3">
      <c r="A374" s="2">
        <v>46224</v>
      </c>
      <c r="B374" s="3">
        <v>810.49857233800003</v>
      </c>
    </row>
    <row r="375" spans="1:2" x14ac:dyDescent="0.3">
      <c r="A375" s="2">
        <v>46225</v>
      </c>
      <c r="B375" s="3">
        <v>810.99081869096995</v>
      </c>
    </row>
    <row r="376" spans="1:2" x14ac:dyDescent="0.3">
      <c r="A376" s="2">
        <v>46226</v>
      </c>
      <c r="B376" s="3">
        <v>811.48336400370999</v>
      </c>
    </row>
    <row r="377" spans="1:2" x14ac:dyDescent="0.3">
      <c r="A377" s="2">
        <v>46227</v>
      </c>
      <c r="B377" s="3">
        <v>811.97620845781</v>
      </c>
    </row>
    <row r="378" spans="1:2" x14ac:dyDescent="0.3">
      <c r="A378" s="2">
        <v>46230</v>
      </c>
      <c r="B378" s="3">
        <v>813.45653848551001</v>
      </c>
    </row>
    <row r="379" spans="1:2" x14ac:dyDescent="0.3">
      <c r="A379" s="2">
        <v>46231</v>
      </c>
      <c r="B379" s="3">
        <v>813.95058132289</v>
      </c>
    </row>
    <row r="380" spans="1:2" x14ac:dyDescent="0.3">
      <c r="A380" s="2">
        <v>46232</v>
      </c>
      <c r="B380" s="3">
        <v>814.44492421112</v>
      </c>
    </row>
    <row r="381" spans="1:2" x14ac:dyDescent="0.3">
      <c r="A381" s="2">
        <v>46233</v>
      </c>
      <c r="B381" s="3">
        <v>814.93956733241998</v>
      </c>
    </row>
    <row r="382" spans="1:2" x14ac:dyDescent="0.3">
      <c r="A382" s="2">
        <v>46234</v>
      </c>
      <c r="B382" s="3">
        <v>815.43451086916002</v>
      </c>
    </row>
    <row r="383" spans="1:2" x14ac:dyDescent="0.3">
      <c r="A383" s="2">
        <v>46237</v>
      </c>
      <c r="B383" s="3">
        <v>816.92114579699</v>
      </c>
    </row>
    <row r="384" spans="1:2" x14ac:dyDescent="0.3">
      <c r="A384" s="2">
        <v>46238</v>
      </c>
      <c r="B384" s="3">
        <v>817.41729282106996</v>
      </c>
    </row>
    <row r="385" spans="1:2" x14ac:dyDescent="0.3">
      <c r="A385" s="2">
        <v>46239</v>
      </c>
      <c r="B385" s="3">
        <v>817.91374117394002</v>
      </c>
    </row>
    <row r="386" spans="1:2" x14ac:dyDescent="0.3">
      <c r="A386" s="2">
        <v>46240</v>
      </c>
      <c r="B386" s="3">
        <v>818.41049103862997</v>
      </c>
    </row>
    <row r="387" spans="1:2" x14ac:dyDescent="0.3">
      <c r="A387" s="2">
        <v>46241</v>
      </c>
      <c r="B387" s="3">
        <v>818.90754259823996</v>
      </c>
    </row>
    <row r="388" spans="1:2" x14ac:dyDescent="0.3">
      <c r="A388" s="2">
        <v>46244</v>
      </c>
      <c r="B388" s="3">
        <v>820.40050927951995</v>
      </c>
    </row>
    <row r="389" spans="1:2" x14ac:dyDescent="0.3">
      <c r="A389" s="2">
        <v>46245</v>
      </c>
      <c r="B389" s="3">
        <v>820.89876945228002</v>
      </c>
    </row>
    <row r="390" spans="1:2" x14ac:dyDescent="0.3">
      <c r="A390" s="2">
        <v>46246</v>
      </c>
      <c r="B390" s="3">
        <v>821.39733223721998</v>
      </c>
    </row>
    <row r="391" spans="1:2" x14ac:dyDescent="0.3">
      <c r="A391" s="2">
        <v>46247</v>
      </c>
      <c r="B391" s="3">
        <v>821.89619781814997</v>
      </c>
    </row>
    <row r="392" spans="1:2" x14ac:dyDescent="0.3">
      <c r="A392" s="2">
        <v>46248</v>
      </c>
      <c r="B392" s="3">
        <v>822.39536637897004</v>
      </c>
    </row>
    <row r="393" spans="1:2" x14ac:dyDescent="0.3">
      <c r="A393" s="2">
        <v>46252</v>
      </c>
      <c r="B393" s="3">
        <v>824.55152069860003</v>
      </c>
    </row>
    <row r="394" spans="1:2" x14ac:dyDescent="0.3">
      <c r="A394" s="2">
        <v>46253</v>
      </c>
      <c r="B394" s="3">
        <v>825.10448907565001</v>
      </c>
    </row>
    <row r="395" spans="1:2" x14ac:dyDescent="0.3">
      <c r="A395" s="2">
        <v>46254</v>
      </c>
      <c r="B395" s="3">
        <v>825.65782828946999</v>
      </c>
    </row>
    <row r="396" spans="1:2" x14ac:dyDescent="0.3">
      <c r="A396" s="2">
        <v>46255</v>
      </c>
      <c r="B396" s="3">
        <v>826.21153858876005</v>
      </c>
    </row>
    <row r="397" spans="1:2" x14ac:dyDescent="0.3">
      <c r="A397" s="2">
        <v>46258</v>
      </c>
      <c r="B397" s="3">
        <v>827.87489848887003</v>
      </c>
    </row>
    <row r="398" spans="1:2" x14ac:dyDescent="0.3">
      <c r="A398" s="2">
        <v>46259</v>
      </c>
      <c r="B398" s="3">
        <v>828.43009562029999</v>
      </c>
    </row>
    <row r="399" spans="1:2" x14ac:dyDescent="0.3">
      <c r="A399" s="2">
        <v>46260</v>
      </c>
      <c r="B399" s="3">
        <v>828.98566508318004</v>
      </c>
    </row>
    <row r="400" spans="1:2" x14ac:dyDescent="0.3">
      <c r="A400" s="2">
        <v>46261</v>
      </c>
      <c r="B400" s="3">
        <v>829.5416071272</v>
      </c>
    </row>
    <row r="401" spans="1:2" x14ac:dyDescent="0.3">
      <c r="A401" s="2">
        <v>46262</v>
      </c>
      <c r="B401" s="3">
        <v>830.09792200222</v>
      </c>
    </row>
    <row r="402" spans="1:2" x14ac:dyDescent="0.3">
      <c r="A402" s="2">
        <v>46265</v>
      </c>
      <c r="B402" s="3">
        <v>831.76910611443998</v>
      </c>
    </row>
    <row r="403" spans="1:2" x14ac:dyDescent="0.3">
      <c r="A403" s="2">
        <v>46266</v>
      </c>
      <c r="B403" s="3">
        <v>832.32691481545999</v>
      </c>
    </row>
    <row r="404" spans="1:2" x14ac:dyDescent="0.3">
      <c r="A404" s="2">
        <v>46267</v>
      </c>
      <c r="B404" s="3">
        <v>832.88509759931992</v>
      </c>
    </row>
    <row r="405" spans="1:2" x14ac:dyDescent="0.3">
      <c r="A405" s="2">
        <v>46268</v>
      </c>
      <c r="B405" s="3">
        <v>833.44365471688002</v>
      </c>
    </row>
    <row r="406" spans="1:2" x14ac:dyDescent="0.3">
      <c r="A406" s="2">
        <v>46269</v>
      </c>
      <c r="B406" s="3">
        <v>834.00258641919004</v>
      </c>
    </row>
    <row r="407" spans="1:2" x14ac:dyDescent="0.3">
      <c r="A407" s="2">
        <v>46272</v>
      </c>
      <c r="B407" s="3">
        <v>835.68163154752006</v>
      </c>
    </row>
    <row r="408" spans="1:2" x14ac:dyDescent="0.3">
      <c r="A408" s="2">
        <v>46273</v>
      </c>
      <c r="B408" s="3">
        <v>836.24206410258</v>
      </c>
    </row>
    <row r="409" spans="1:2" x14ac:dyDescent="0.3">
      <c r="A409" s="2">
        <v>46274</v>
      </c>
      <c r="B409" s="3">
        <v>836.80287250010997</v>
      </c>
    </row>
    <row r="410" spans="1:2" x14ac:dyDescent="0.3">
      <c r="A410" s="2">
        <v>46275</v>
      </c>
      <c r="B410" s="3">
        <v>837.36405699215993</v>
      </c>
    </row>
    <row r="411" spans="1:2" x14ac:dyDescent="0.3">
      <c r="A411" s="2">
        <v>46276</v>
      </c>
      <c r="B411" s="3">
        <v>837.92561783095005</v>
      </c>
    </row>
    <row r="412" spans="1:2" x14ac:dyDescent="0.3">
      <c r="A412" s="2">
        <v>46279</v>
      </c>
      <c r="B412" s="3">
        <v>839.61256095250997</v>
      </c>
    </row>
    <row r="413" spans="1:2" x14ac:dyDescent="0.3">
      <c r="A413" s="2">
        <v>46280</v>
      </c>
      <c r="B413" s="3">
        <v>840.17562970384995</v>
      </c>
    </row>
    <row r="414" spans="1:2" x14ac:dyDescent="0.3">
      <c r="A414" s="2">
        <v>46281</v>
      </c>
      <c r="B414" s="3">
        <v>840.64786033042003</v>
      </c>
    </row>
    <row r="415" spans="1:2" x14ac:dyDescent="0.3">
      <c r="A415" s="2">
        <v>46282</v>
      </c>
      <c r="B415" s="3">
        <v>841.12035637977999</v>
      </c>
    </row>
    <row r="416" spans="1:2" x14ac:dyDescent="0.3">
      <c r="A416" s="2">
        <v>46283</v>
      </c>
      <c r="B416" s="3">
        <v>841.59311800112005</v>
      </c>
    </row>
    <row r="417" spans="1:2" x14ac:dyDescent="0.3">
      <c r="A417" s="2">
        <v>46286</v>
      </c>
      <c r="B417" s="3">
        <v>843.01299779013004</v>
      </c>
    </row>
    <row r="418" spans="1:2" x14ac:dyDescent="0.3">
      <c r="A418" s="2">
        <v>46287</v>
      </c>
      <c r="B418" s="3">
        <v>843.48682319291004</v>
      </c>
    </row>
    <row r="419" spans="1:2" x14ac:dyDescent="0.3">
      <c r="A419" s="2">
        <v>46288</v>
      </c>
      <c r="B419" s="3">
        <v>843.96091491485004</v>
      </c>
    </row>
    <row r="420" spans="1:2" x14ac:dyDescent="0.3">
      <c r="A420" s="2">
        <f>+WORKDAY(A419,1,[4]Feriados!$A$2:$A$38)</f>
        <v>46289</v>
      </c>
      <c r="B420" s="3">
        <v>844.43527310563002</v>
      </c>
    </row>
    <row r="421" spans="1:2" x14ac:dyDescent="0.3">
      <c r="A421" s="2">
        <f>+WORKDAY(A420,1,[4]Feriados!$A$2:$A$38)</f>
        <v>46290</v>
      </c>
      <c r="B421" s="3">
        <v>844.90989791504001</v>
      </c>
    </row>
    <row r="422" spans="1:2" x14ac:dyDescent="0.3">
      <c r="A422" s="2">
        <f>+WORKDAY(A421,1,[4]Feriados!$A$2:$A$38)</f>
        <v>46293</v>
      </c>
      <c r="B422" s="3">
        <v>846.33537355394003</v>
      </c>
    </row>
    <row r="423" spans="1:2" x14ac:dyDescent="0.3">
      <c r="A423" s="2">
        <f>+WORKDAY(A422,1,[4]Feriados!$A$2:$A$38)</f>
        <v>46294</v>
      </c>
      <c r="B423" s="3">
        <v>846.81106633722004</v>
      </c>
    </row>
    <row r="424" spans="1:2" x14ac:dyDescent="0.3">
      <c r="A424" s="2">
        <f>+WORKDAY(A423,1,[4]Feriados!$A$2:$A$38)</f>
        <v>46295</v>
      </c>
      <c r="B424" s="3">
        <v>847.28702648924002</v>
      </c>
    </row>
    <row r="425" spans="1:2" x14ac:dyDescent="0.3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3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3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3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3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3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3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3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3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3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3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3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3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3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3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3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3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3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3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3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3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3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3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3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3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3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3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3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3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3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3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3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3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3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3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3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3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3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3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3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3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3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3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3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3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3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3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3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3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3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3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3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3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3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3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3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3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3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3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3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3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3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3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3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3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3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3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3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3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3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3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3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3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3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3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3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3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3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3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3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3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3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3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3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3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3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3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3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3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3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3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3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3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3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3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3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3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3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3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3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3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3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3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3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3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3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3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3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3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3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3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3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3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3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3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3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3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3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3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3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3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3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3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3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3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3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3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3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3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3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3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3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3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3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3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3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3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3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3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3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3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3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3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3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3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3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3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3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3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3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3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3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3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3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3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3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3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3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3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3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3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3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3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3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3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3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3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3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3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3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3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3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4.4" x14ac:dyDescent="0.3"/>
  <sheetData>
    <row r="1" spans="1:1" x14ac:dyDescent="0.3">
      <c r="A1" t="s">
        <v>0</v>
      </c>
    </row>
    <row r="2" spans="1:1" x14ac:dyDescent="0.3">
      <c r="A2" s="1">
        <f>+[5]Hoja1!$B31</f>
        <v>46167</v>
      </c>
    </row>
    <row r="3" spans="1:1" x14ac:dyDescent="0.3">
      <c r="A3" s="1">
        <f>+[5]Hoja1!$B32</f>
        <v>46188</v>
      </c>
    </row>
    <row r="4" spans="1:1" x14ac:dyDescent="0.3">
      <c r="A4" s="1">
        <f>+[5]Hoja1!$B33</f>
        <v>46212</v>
      </c>
    </row>
    <row r="5" spans="1:1" x14ac:dyDescent="0.3">
      <c r="A5" s="1">
        <f>+[5]Hoja1!$B34</f>
        <v>46213</v>
      </c>
    </row>
    <row r="6" spans="1:1" x14ac:dyDescent="0.3">
      <c r="A6" s="1">
        <f>+[5]Hoja1!$B35</f>
        <v>46251</v>
      </c>
    </row>
    <row r="7" spans="1:1" x14ac:dyDescent="0.3">
      <c r="A7" s="1">
        <f>+[5]Hoja1!$B36</f>
        <v>46307</v>
      </c>
    </row>
    <row r="8" spans="1:1" x14ac:dyDescent="0.3">
      <c r="A8" s="1">
        <f>+[5]Hoja1!$B37</f>
        <v>46332</v>
      </c>
    </row>
    <row r="9" spans="1:1" x14ac:dyDescent="0.3">
      <c r="A9" s="1">
        <f>+[5]Hoja1!$B38</f>
        <v>46335</v>
      </c>
    </row>
    <row r="10" spans="1:1" x14ac:dyDescent="0.3">
      <c r="A10" s="1">
        <f>+[5]Hoja1!$B39</f>
        <v>46336</v>
      </c>
    </row>
    <row r="11" spans="1:1" x14ac:dyDescent="0.3">
      <c r="A11" s="1">
        <f>+[5]Hoja1!$B40</f>
        <v>46349</v>
      </c>
    </row>
    <row r="12" spans="1:1" x14ac:dyDescent="0.3">
      <c r="A12" s="1">
        <f>+[5]Hoja1!$B41</f>
        <v>46363</v>
      </c>
    </row>
    <row r="13" spans="1:1" x14ac:dyDescent="0.3">
      <c r="A13" s="1">
        <f>+[5]Hoja1!$B42</f>
        <v>46364</v>
      </c>
    </row>
    <row r="14" spans="1:1" x14ac:dyDescent="0.3">
      <c r="A14" s="1">
        <f>+[5]Hoja1!$B43</f>
        <v>46381</v>
      </c>
    </row>
    <row r="15" spans="1:1" x14ac:dyDescent="0.3">
      <c r="A15" s="1"/>
    </row>
    <row r="16" spans="1:1" x14ac:dyDescent="0.3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F5" sqref="F5"/>
    </sheetView>
  </sheetViews>
  <sheetFormatPr baseColWidth="10" defaultRowHeight="14.4" x14ac:dyDescent="0.3"/>
  <cols>
    <col min="3" max="3" width="12.88671875" customWidth="1"/>
  </cols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15</v>
      </c>
      <c r="B2" s="7">
        <v>46006</v>
      </c>
      <c r="C2" s="7">
        <v>46356</v>
      </c>
      <c r="D2" s="6">
        <v>2.3E-2</v>
      </c>
    </row>
    <row r="3" spans="1:4" x14ac:dyDescent="0.3">
      <c r="A3" t="s">
        <v>3</v>
      </c>
      <c r="B3" s="7">
        <v>46265</v>
      </c>
      <c r="C3" s="7">
        <v>46416</v>
      </c>
      <c r="D3" s="6">
        <v>2.1899999999999999E-2</v>
      </c>
    </row>
    <row r="4" spans="1:4" x14ac:dyDescent="0.3">
      <c r="A4" t="s">
        <v>7</v>
      </c>
      <c r="B4" s="7">
        <v>45688</v>
      </c>
      <c r="C4" s="7">
        <v>46402</v>
      </c>
      <c r="D4" s="6">
        <v>2.0499999999999997E-2</v>
      </c>
    </row>
    <row r="5" spans="1:4" x14ac:dyDescent="0.3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3">
      <c r="A6" t="s">
        <v>11</v>
      </c>
      <c r="B6" s="7">
        <v>46006</v>
      </c>
      <c r="C6" s="7">
        <v>46538</v>
      </c>
      <c r="D6" s="6">
        <v>2.4E-2</v>
      </c>
    </row>
    <row r="7" spans="1:4" x14ac:dyDescent="0.3">
      <c r="A7" t="s">
        <v>17</v>
      </c>
      <c r="B7" s="7">
        <v>46038</v>
      </c>
      <c r="C7" s="7">
        <v>46568</v>
      </c>
      <c r="D7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4.4" x14ac:dyDescent="0.3"/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4</v>
      </c>
      <c r="B2" s="8">
        <v>46066</v>
      </c>
      <c r="C2" s="7">
        <v>46444</v>
      </c>
      <c r="D2" s="6">
        <v>6.5000000000000002E-2</v>
      </c>
    </row>
    <row r="3" spans="1:4" x14ac:dyDescent="0.3">
      <c r="A3" t="s">
        <v>12</v>
      </c>
      <c r="B3" s="8">
        <v>46203</v>
      </c>
      <c r="C3" s="7">
        <v>46598</v>
      </c>
      <c r="D3" s="6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8" sqref="E8"/>
    </sheetView>
  </sheetViews>
  <sheetFormatPr baseColWidth="10" defaultRowHeight="14.4" x14ac:dyDescent="0.3"/>
  <sheetData>
    <row r="1" spans="1:5" x14ac:dyDescent="0.3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3">
      <c r="A2" t="s">
        <v>20</v>
      </c>
      <c r="B2" s="7">
        <v>46006</v>
      </c>
      <c r="C2" s="7">
        <v>46356</v>
      </c>
      <c r="D2" s="6">
        <v>0</v>
      </c>
      <c r="E2">
        <v>659.6789</v>
      </c>
    </row>
    <row r="3" spans="1:5" x14ac:dyDescent="0.3">
      <c r="A3" t="s">
        <v>13</v>
      </c>
      <c r="B3" s="7">
        <v>46248</v>
      </c>
      <c r="C3" s="7">
        <v>46416</v>
      </c>
      <c r="D3" s="6">
        <v>0</v>
      </c>
      <c r="E3">
        <v>815.43449999999996</v>
      </c>
    </row>
    <row r="4" spans="1:5" x14ac:dyDescent="0.3">
      <c r="A4" t="s">
        <v>19</v>
      </c>
      <c r="B4" s="7">
        <v>45989</v>
      </c>
      <c r="C4" s="7">
        <v>46507</v>
      </c>
      <c r="D4" s="6">
        <v>0</v>
      </c>
      <c r="E4">
        <v>651.8981</v>
      </c>
    </row>
    <row r="5" spans="1:5" x14ac:dyDescent="0.3">
      <c r="A5" t="s">
        <v>14</v>
      </c>
      <c r="B5" s="7">
        <v>46006</v>
      </c>
      <c r="C5" s="7">
        <v>46538</v>
      </c>
      <c r="D5" s="6">
        <v>0</v>
      </c>
      <c r="E5">
        <v>659.6789</v>
      </c>
    </row>
    <row r="6" spans="1:5" x14ac:dyDescent="0.3">
      <c r="A6" t="s">
        <v>18</v>
      </c>
      <c r="B6" s="7">
        <v>45323</v>
      </c>
      <c r="C6" s="7">
        <v>46568</v>
      </c>
      <c r="D6" s="6">
        <v>0</v>
      </c>
      <c r="E6">
        <v>200.38800000000001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2026-10-22T14:44:26Z</dcterms:modified>
</cp:coreProperties>
</file>