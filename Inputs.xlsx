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ladoras\BE CER y Tamar\"/>
    </mc:Choice>
  </mc:AlternateContent>
  <bookViews>
    <workbookView xWindow="0" yWindow="0" windowWidth="28800" windowHeight="12000"/>
  </bookViews>
  <sheets>
    <sheet name="Precios" sheetId="3" r:id="rId1"/>
    <sheet name="Tamar" sheetId="1" r:id="rId2"/>
    <sheet name="CER" sheetId="6" r:id="rId3"/>
    <sheet name="Feriados" sheetId="2" r:id="rId4"/>
    <sheet name="Lecaps" sheetId="4" r:id="rId5"/>
    <sheet name="Letam" sheetId="5" r:id="rId6"/>
    <sheet name="LECER" sheetId="7" r:id="rId7"/>
  </sheets>
  <externalReferences>
    <externalReference r:id="rId8"/>
    <externalReference r:id="rId9"/>
    <externalReference r:id="rId10"/>
    <externalReference r:id="rId11"/>
  </externalReferences>
  <calcPr calcId="162913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0" i="6" l="1"/>
  <c r="A421" i="6" s="1"/>
  <c r="A422" i="6" s="1"/>
  <c r="A423" i="6" s="1"/>
  <c r="A424" i="6" s="1"/>
  <c r="A425" i="6" s="1"/>
  <c r="B425" i="6" l="1"/>
  <c r="A426" i="6"/>
  <c r="A427" i="6" l="1"/>
  <c r="B426" i="6"/>
  <c r="A428" i="6" l="1"/>
  <c r="B427" i="6"/>
  <c r="B428" i="6" l="1"/>
  <c r="A429" i="6"/>
  <c r="A430" i="6" l="1"/>
  <c r="B429" i="6"/>
  <c r="A431" i="6" l="1"/>
  <c r="B430" i="6"/>
  <c r="A432" i="6" l="1"/>
  <c r="B431" i="6"/>
  <c r="A433" i="6" l="1"/>
  <c r="B432" i="6"/>
  <c r="A434" i="6" l="1"/>
  <c r="B433" i="6"/>
  <c r="B434" i="6" l="1"/>
  <c r="A435" i="6"/>
  <c r="B435" i="6" l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436" i="6" s="1"/>
  <c r="A437" i="6" l="1"/>
  <c r="B436" i="6"/>
  <c r="A151" i="3"/>
  <c r="A152" i="3" s="1"/>
  <c r="A153" i="3" s="1"/>
  <c r="A154" i="3" s="1"/>
  <c r="A155" i="3" s="1"/>
  <c r="A156" i="3" s="1"/>
  <c r="A157" i="3" s="1"/>
  <c r="A158" i="3" s="1"/>
  <c r="A420" i="1"/>
  <c r="B420" i="1" s="1"/>
  <c r="A438" i="6" l="1"/>
  <c r="B437" i="6"/>
  <c r="A159" i="3"/>
  <c r="A421" i="1"/>
  <c r="A422" i="1" s="1"/>
  <c r="A439" i="6" l="1"/>
  <c r="B438" i="6"/>
  <c r="A160" i="3"/>
  <c r="B421" i="1"/>
  <c r="A423" i="1"/>
  <c r="B422" i="1"/>
  <c r="A440" i="6" l="1"/>
  <c r="B439" i="6"/>
  <c r="A161" i="3"/>
  <c r="A424" i="1"/>
  <c r="A425" i="1" s="1"/>
  <c r="B425" i="1" s="1"/>
  <c r="B423" i="1"/>
  <c r="A441" i="6" l="1"/>
  <c r="B440" i="6"/>
  <c r="A162" i="3"/>
  <c r="B424" i="1"/>
  <c r="A442" i="6" l="1"/>
  <c r="B441" i="6"/>
  <c r="A163" i="3"/>
  <c r="A426" i="1"/>
  <c r="B426" i="1" s="1"/>
  <c r="A165" i="3" l="1"/>
  <c r="A166" i="3" s="1"/>
  <c r="A167" i="3" s="1"/>
  <c r="A168" i="3" s="1"/>
  <c r="A164" i="3"/>
  <c r="A443" i="6"/>
  <c r="B442" i="6"/>
  <c r="A427" i="1"/>
  <c r="B427" i="1" s="1"/>
  <c r="A169" i="3" l="1"/>
  <c r="A444" i="6"/>
  <c r="B443" i="6"/>
  <c r="A428" i="1"/>
  <c r="B428" i="1" s="1"/>
  <c r="B169" i="3" l="1"/>
  <c r="N169" i="3"/>
  <c r="E169" i="3"/>
  <c r="F169" i="3"/>
  <c r="G169" i="3"/>
  <c r="H169" i="3"/>
  <c r="I169" i="3"/>
  <c r="J169" i="3"/>
  <c r="K169" i="3"/>
  <c r="L169" i="3"/>
  <c r="C169" i="3"/>
  <c r="O169" i="3"/>
  <c r="D169" i="3"/>
  <c r="M169" i="3"/>
  <c r="A445" i="6"/>
  <c r="B444" i="6"/>
  <c r="A429" i="1"/>
  <c r="B429" i="1" s="1"/>
  <c r="A446" i="6" l="1"/>
  <c r="B445" i="6"/>
  <c r="A430" i="1"/>
  <c r="B430" i="1" s="1"/>
  <c r="A447" i="6" l="1"/>
  <c r="B446" i="6"/>
  <c r="A431" i="1"/>
  <c r="B431" i="1" s="1"/>
  <c r="A448" i="6" l="1"/>
  <c r="B447" i="6"/>
  <c r="A432" i="1"/>
  <c r="B432" i="1" s="1"/>
  <c r="A449" i="6" l="1"/>
  <c r="B448" i="6"/>
  <c r="A433" i="1"/>
  <c r="A450" i="6" l="1"/>
  <c r="B449" i="6"/>
  <c r="A434" i="1"/>
  <c r="B433" i="1"/>
  <c r="A451" i="6" l="1"/>
  <c r="B450" i="6"/>
  <c r="A435" i="1"/>
  <c r="B434" i="1"/>
  <c r="A436" i="1" l="1"/>
  <c r="B435" i="1"/>
  <c r="A452" i="6"/>
  <c r="B451" i="6"/>
  <c r="A437" i="1" l="1"/>
  <c r="B436" i="1"/>
  <c r="A453" i="6"/>
  <c r="B452" i="6"/>
  <c r="A438" i="1" l="1"/>
  <c r="B437" i="1"/>
  <c r="A454" i="6"/>
  <c r="B453" i="6"/>
  <c r="B438" i="1" l="1"/>
  <c r="A439" i="1"/>
  <c r="A455" i="6"/>
  <c r="B454" i="6"/>
  <c r="A440" i="1" l="1"/>
  <c r="A441" i="1" s="1"/>
  <c r="A442" i="1" s="1"/>
  <c r="B439" i="1"/>
  <c r="A456" i="6"/>
  <c r="B455" i="6"/>
  <c r="A457" i="6" l="1"/>
  <c r="B456" i="6"/>
  <c r="A458" i="6" l="1"/>
  <c r="B457" i="6"/>
  <c r="A459" i="6" l="1"/>
  <c r="B458" i="6"/>
  <c r="A460" i="6" l="1"/>
  <c r="B459" i="6"/>
  <c r="A461" i="6" l="1"/>
  <c r="B460" i="6"/>
  <c r="A462" i="6" l="1"/>
  <c r="B461" i="6"/>
  <c r="A463" i="6" l="1"/>
  <c r="B462" i="6"/>
  <c r="A464" i="6" l="1"/>
  <c r="B463" i="6"/>
  <c r="A465" i="6" l="1"/>
  <c r="B464" i="6"/>
  <c r="A466" i="6" l="1"/>
  <c r="B465" i="6"/>
  <c r="A467" i="6" l="1"/>
  <c r="B466" i="6"/>
  <c r="A468" i="6" l="1"/>
  <c r="B467" i="6"/>
  <c r="A469" i="6" l="1"/>
  <c r="B468" i="6"/>
  <c r="A470" i="6" l="1"/>
  <c r="B469" i="6"/>
  <c r="A471" i="6" l="1"/>
  <c r="B470" i="6"/>
  <c r="A472" i="6" l="1"/>
  <c r="B471" i="6"/>
  <c r="A473" i="6" l="1"/>
  <c r="B472" i="6"/>
  <c r="A474" i="6" l="1"/>
  <c r="B473" i="6"/>
  <c r="A475" i="6" l="1"/>
  <c r="B474" i="6"/>
  <c r="A476" i="6" l="1"/>
  <c r="B475" i="6"/>
  <c r="A477" i="6" l="1"/>
  <c r="B476" i="6"/>
  <c r="A478" i="6" l="1"/>
  <c r="B477" i="6"/>
  <c r="A479" i="6" l="1"/>
  <c r="B478" i="6"/>
  <c r="A480" i="6" l="1"/>
  <c r="B479" i="6"/>
  <c r="A481" i="6" l="1"/>
  <c r="B480" i="6"/>
  <c r="A482" i="6" l="1"/>
  <c r="B481" i="6"/>
  <c r="A483" i="6" l="1"/>
  <c r="B482" i="6"/>
  <c r="A484" i="6" l="1"/>
  <c r="B483" i="6"/>
  <c r="A485" i="6" l="1"/>
  <c r="B484" i="6"/>
  <c r="A486" i="6" l="1"/>
  <c r="B485" i="6"/>
  <c r="A487" i="6" l="1"/>
  <c r="B486" i="6"/>
  <c r="A488" i="6" l="1"/>
  <c r="B487" i="6"/>
  <c r="A489" i="6" l="1"/>
  <c r="B488" i="6"/>
  <c r="A490" i="6" l="1"/>
  <c r="B489" i="6"/>
  <c r="A491" i="6" l="1"/>
  <c r="B490" i="6"/>
  <c r="A492" i="6" l="1"/>
  <c r="B491" i="6"/>
  <c r="A493" i="6" l="1"/>
  <c r="B492" i="6"/>
  <c r="A494" i="6" l="1"/>
  <c r="B493" i="6"/>
  <c r="A495" i="6" l="1"/>
  <c r="B494" i="6"/>
  <c r="A496" i="6" l="1"/>
  <c r="B495" i="6"/>
  <c r="A497" i="6" l="1"/>
  <c r="B496" i="6"/>
  <c r="A498" i="6" l="1"/>
  <c r="B497" i="6"/>
  <c r="A499" i="6" l="1"/>
  <c r="B498" i="6"/>
  <c r="A500" i="6" l="1"/>
  <c r="B499" i="6"/>
  <c r="A501" i="6" l="1"/>
  <c r="B500" i="6"/>
  <c r="A502" i="6" l="1"/>
  <c r="B501" i="6"/>
  <c r="A503" i="6" l="1"/>
  <c r="B502" i="6"/>
  <c r="A504" i="6" l="1"/>
  <c r="B503" i="6"/>
  <c r="A505" i="6" l="1"/>
  <c r="B504" i="6"/>
  <c r="A506" i="6" l="1"/>
  <c r="B505" i="6"/>
  <c r="A507" i="6" l="1"/>
  <c r="B506" i="6"/>
  <c r="A508" i="6" l="1"/>
  <c r="B507" i="6"/>
  <c r="A509" i="6" l="1"/>
  <c r="B508" i="6"/>
  <c r="A510" i="6" l="1"/>
  <c r="B509" i="6"/>
  <c r="A511" i="6" l="1"/>
  <c r="B510" i="6"/>
  <c r="A512" i="6" l="1"/>
  <c r="B511" i="6"/>
  <c r="A513" i="6" l="1"/>
  <c r="B512" i="6"/>
  <c r="A514" i="6" l="1"/>
  <c r="B513" i="6"/>
  <c r="A515" i="6" l="1"/>
  <c r="B514" i="6"/>
  <c r="A516" i="6" l="1"/>
  <c r="B515" i="6"/>
  <c r="A517" i="6" l="1"/>
  <c r="B516" i="6"/>
  <c r="A518" i="6" l="1"/>
  <c r="B517" i="6"/>
  <c r="A519" i="6" l="1"/>
  <c r="B518" i="6"/>
  <c r="A520" i="6" l="1"/>
  <c r="B519" i="6"/>
  <c r="A521" i="6" l="1"/>
  <c r="B520" i="6"/>
  <c r="A522" i="6" l="1"/>
  <c r="B521" i="6"/>
  <c r="A523" i="6" l="1"/>
  <c r="B522" i="6"/>
  <c r="A524" i="6" l="1"/>
  <c r="B523" i="6"/>
  <c r="A525" i="6" l="1"/>
  <c r="B524" i="6"/>
  <c r="A526" i="6" l="1"/>
  <c r="B525" i="6"/>
  <c r="A527" i="6" l="1"/>
  <c r="B526" i="6"/>
  <c r="A528" i="6" l="1"/>
  <c r="B527" i="6"/>
  <c r="A529" i="6" l="1"/>
  <c r="B528" i="6"/>
  <c r="A530" i="6" l="1"/>
  <c r="B529" i="6"/>
  <c r="A531" i="6" l="1"/>
  <c r="B530" i="6"/>
  <c r="A532" i="6" l="1"/>
  <c r="B531" i="6"/>
  <c r="A533" i="6" l="1"/>
  <c r="B532" i="6"/>
  <c r="A534" i="6" l="1"/>
  <c r="B533" i="6"/>
  <c r="A535" i="6" l="1"/>
  <c r="B534" i="6"/>
  <c r="A536" i="6" l="1"/>
  <c r="B535" i="6"/>
  <c r="A537" i="6" l="1"/>
  <c r="B536" i="6"/>
  <c r="A538" i="6" l="1"/>
  <c r="B537" i="6"/>
  <c r="A539" i="6" l="1"/>
  <c r="B538" i="6"/>
  <c r="A540" i="6" l="1"/>
  <c r="B539" i="6"/>
  <c r="A541" i="6" l="1"/>
  <c r="B540" i="6"/>
  <c r="A542" i="6" l="1"/>
  <c r="B541" i="6"/>
  <c r="A543" i="6" l="1"/>
  <c r="B542" i="6"/>
  <c r="A544" i="6" l="1"/>
  <c r="B543" i="6"/>
  <c r="A545" i="6" l="1"/>
  <c r="B544" i="6"/>
  <c r="A546" i="6" l="1"/>
  <c r="B545" i="6"/>
  <c r="A547" i="6" l="1"/>
  <c r="B546" i="6"/>
  <c r="A548" i="6" l="1"/>
  <c r="B547" i="6"/>
  <c r="A549" i="6" l="1"/>
  <c r="B548" i="6"/>
  <c r="A550" i="6" l="1"/>
  <c r="B549" i="6"/>
  <c r="A551" i="6" l="1"/>
  <c r="B550" i="6"/>
  <c r="A552" i="6" l="1"/>
  <c r="B551" i="6"/>
  <c r="A553" i="6" l="1"/>
  <c r="B552" i="6"/>
  <c r="A554" i="6" l="1"/>
  <c r="B553" i="6"/>
  <c r="A555" i="6" l="1"/>
  <c r="B554" i="6"/>
  <c r="A556" i="6" l="1"/>
  <c r="B555" i="6"/>
  <c r="A557" i="6" l="1"/>
  <c r="B556" i="6"/>
  <c r="A558" i="6" l="1"/>
  <c r="B557" i="6"/>
  <c r="A559" i="6" l="1"/>
  <c r="B558" i="6"/>
  <c r="A560" i="6" l="1"/>
  <c r="B559" i="6"/>
  <c r="A561" i="6" l="1"/>
  <c r="B560" i="6"/>
  <c r="A562" i="6" l="1"/>
  <c r="B561" i="6"/>
  <c r="A563" i="6" l="1"/>
  <c r="B562" i="6"/>
  <c r="A564" i="6" l="1"/>
  <c r="B563" i="6"/>
  <c r="A565" i="6" l="1"/>
  <c r="B564" i="6"/>
  <c r="A566" i="6" l="1"/>
  <c r="B565" i="6"/>
  <c r="A567" i="6" l="1"/>
  <c r="B566" i="6"/>
  <c r="A568" i="6" l="1"/>
  <c r="B567" i="6"/>
  <c r="A569" i="6" l="1"/>
  <c r="B568" i="6"/>
  <c r="A570" i="6" l="1"/>
  <c r="B569" i="6"/>
  <c r="A571" i="6" l="1"/>
  <c r="B570" i="6"/>
  <c r="A572" i="6" l="1"/>
  <c r="B571" i="6"/>
  <c r="A573" i="6" l="1"/>
  <c r="B572" i="6"/>
  <c r="A574" i="6" l="1"/>
  <c r="B573" i="6"/>
  <c r="A575" i="6" l="1"/>
  <c r="B574" i="6"/>
  <c r="A576" i="6" l="1"/>
  <c r="B575" i="6"/>
  <c r="A577" i="6" l="1"/>
  <c r="B576" i="6"/>
  <c r="A578" i="6" l="1"/>
  <c r="B577" i="6"/>
  <c r="A579" i="6" l="1"/>
  <c r="B578" i="6"/>
  <c r="A580" i="6" l="1"/>
  <c r="B579" i="6"/>
  <c r="A581" i="6" l="1"/>
  <c r="B580" i="6"/>
  <c r="A582" i="6" l="1"/>
  <c r="B581" i="6"/>
  <c r="A583" i="6" l="1"/>
  <c r="B582" i="6"/>
  <c r="A584" i="6" l="1"/>
  <c r="B583" i="6"/>
  <c r="A585" i="6" l="1"/>
  <c r="B584" i="6"/>
  <c r="A586" i="6" l="1"/>
  <c r="B585" i="6"/>
  <c r="A587" i="6" l="1"/>
  <c r="B586" i="6"/>
  <c r="A588" i="6" l="1"/>
  <c r="B587" i="6"/>
  <c r="A589" i="6" l="1"/>
  <c r="B588" i="6"/>
  <c r="A590" i="6" l="1"/>
  <c r="B589" i="6"/>
  <c r="A591" i="6" l="1"/>
  <c r="B590" i="6"/>
  <c r="A592" i="6" l="1"/>
  <c r="B591" i="6"/>
  <c r="A593" i="6" l="1"/>
  <c r="B592" i="6"/>
  <c r="A594" i="6" l="1"/>
  <c r="B593" i="6"/>
  <c r="A595" i="6" l="1"/>
  <c r="B594" i="6"/>
  <c r="A596" i="6" l="1"/>
  <c r="B595" i="6"/>
  <c r="B596" i="6" l="1"/>
</calcChain>
</file>

<file path=xl/sharedStrings.xml><?xml version="1.0" encoding="utf-8"?>
<sst xmlns="http://schemas.openxmlformats.org/spreadsheetml/2006/main" count="48" uniqueCount="23">
  <si>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</si>
  <si>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</si>
  <si>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</si>
  <si>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</si>
  <si>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</si>
  <si>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</si>
  <si>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</si>
  <si>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</si>
  <si>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</si>
  <si>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</si>
  <si>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</si>
  <si>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</si>
  <si>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</si>
  <si>
    <t>X29E7</t>
  </si>
  <si>
    <t>TZXY7</t>
  </si>
  <si>
    <t>S30N6</t>
  </si>
  <si>
    <t>T30A7</t>
  </si>
  <si>
    <t>T30J7</t>
  </si>
  <si>
    <t>TZX27</t>
  </si>
  <si>
    <t>TZXA7</t>
  </si>
  <si>
    <t>X30N6</t>
  </si>
  <si>
    <t>CER</t>
  </si>
  <si>
    <t>CER 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</si>
</sst>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#,##0.0000"/>
    <numFmt numFmtId="165" formatCode="_-* #,##0.00000_-;\-* #,##0.00000_-;_-* &quot;-&quot;??_-;_-@_-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43" fontId="2" fillId="0" borderId="0" applyFont="0" applyFill="0" applyBorder="0" applyAlignment="0" applyProtection="0"/>
  </cellStyleXfs>
  <cellXfs count="13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  <xf numFmtId="0" fontId="0" fillId="3" borderId="0" xfId="0" applyNumberFormat="1" applyFill="1"/>
    <xf numFmtId="165" fontId="0" fillId="0" borderId="0" xfId="2" applyNumberFormat="1" applyFont="1"/>
    <xf numFmtId="165" fontId="0" fillId="0" borderId="0" xfId="2" applyNumberFormat="1" applyFont="1" applyFill="1"/>
  </cellXfs>
  <cellStyles count="3">
    <cellStyle name="Millares" xfId="2" builtinId="3"/>
    <cellStyle name="Normal" xfId="0" builtinId="0"/>
    <cellStyle name="Normal_Excel Bloomberg (Bcra)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Valuaci&#243;n\Valuaci&#243;n%20Activos%20Macro%20Fondos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ina/Documents/Calculadoras/Calcu%20BE%20IPC/Inputs%20CE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 C"/>
      <sheetName val="Renta Fija"/>
      <sheetName val="Valuación"/>
      <sheetName val="Spreads Históricos"/>
      <sheetName val="Precios Históricos"/>
      <sheetName val="Impugnaciones"/>
      <sheetName val="Cortes +1"/>
      <sheetName val="Cortes Cafci"/>
      <sheetName val="Pagarés Horizonte"/>
    </sheetNames>
    <sheetDataSet>
      <sheetData sheetId="0" refreshError="1"/>
      <sheetData sheetId="1" refreshError="1"/>
      <sheetData sheetId="2" refreshError="1"/>
      <sheetData sheetId="3" refreshError="1"/>
      <sheetData sheetId="4">
        <row r="6">
          <cell r="C6">
            <v>46314</v>
          </cell>
          <cell r="D6">
            <v>46315</v>
          </cell>
          <cell r="E6">
            <v>46316</v>
          </cell>
          <cell r="F6">
            <v>46317</v>
          </cell>
          <cell r="G6">
            <v>46318</v>
          </cell>
        </row>
        <row r="7">
          <cell r="B7" t="str">
            <v>Ticker</v>
          </cell>
          <cell r="C7" t="str">
            <v>Px Hoy</v>
          </cell>
          <cell r="D7" t="str">
            <v>Px Hoy</v>
          </cell>
          <cell r="E7" t="str">
            <v>Px Hoy</v>
          </cell>
          <cell r="F7" t="str">
            <v>Px Hoy</v>
          </cell>
          <cell r="G7" t="str">
            <v>Px Hoy</v>
          </cell>
        </row>
        <row r="9">
          <cell r="B9" t="str">
            <v>Bonos Soberanos Hard USD</v>
          </cell>
        </row>
        <row r="11">
          <cell r="B11" t="str">
            <v>AO27D</v>
          </cell>
          <cell r="C11">
            <v>1.0339150100000001</v>
          </cell>
          <cell r="D11">
            <v>1.0349804199999999</v>
          </cell>
          <cell r="E11">
            <v>1.03541214</v>
          </cell>
          <cell r="F11">
            <v>1.0360794</v>
          </cell>
          <cell r="G11">
            <v>1.03719688</v>
          </cell>
        </row>
        <row r="12">
          <cell r="B12" t="str">
            <v>AL30D</v>
          </cell>
          <cell r="C12">
            <v>0.55234872999999995</v>
          </cell>
          <cell r="D12">
            <v>0.55400811999999999</v>
          </cell>
          <cell r="E12">
            <v>0.55128723999999996</v>
          </cell>
          <cell r="F12">
            <v>0.55134072999999995</v>
          </cell>
          <cell r="G12">
            <v>0.55099156999999999</v>
          </cell>
        </row>
        <row r="13">
          <cell r="B13" t="str">
            <v>GD30D</v>
          </cell>
          <cell r="C13">
            <v>0.56829012000000001</v>
          </cell>
          <cell r="D13">
            <v>0.56833805999999998</v>
          </cell>
          <cell r="E13">
            <v>0.56683755000000002</v>
          </cell>
          <cell r="F13">
            <v>0.56685821999999997</v>
          </cell>
          <cell r="G13">
            <v>0.56485441000000003</v>
          </cell>
        </row>
        <row r="14">
          <cell r="B14" t="str">
            <v>AO28D</v>
          </cell>
          <cell r="C14">
            <v>0.92628224000000003</v>
          </cell>
          <cell r="D14">
            <v>0.92653333999999998</v>
          </cell>
          <cell r="E14">
            <v>0.91976760000000002</v>
          </cell>
          <cell r="F14">
            <v>0.91847118000000005</v>
          </cell>
          <cell r="G14">
            <v>0.92345630999999995</v>
          </cell>
        </row>
        <row r="15">
          <cell r="B15" t="str">
            <v>AO29D</v>
          </cell>
          <cell r="C15">
            <v>0.85160027000000005</v>
          </cell>
          <cell r="D15">
            <v>0.85722827999999995</v>
          </cell>
          <cell r="E15">
            <v>0.86258517999999995</v>
          </cell>
          <cell r="F15">
            <v>0.85860762999999996</v>
          </cell>
          <cell r="G15">
            <v>0.86741356999999997</v>
          </cell>
        </row>
        <row r="16">
          <cell r="B16" t="str">
            <v>AN29D</v>
          </cell>
          <cell r="C16">
            <v>0.87392955999999999</v>
          </cell>
          <cell r="D16">
            <v>0.88033021</v>
          </cell>
          <cell r="E16">
            <v>0.88019263999999997</v>
          </cell>
          <cell r="F16">
            <v>0.87786399999999998</v>
          </cell>
          <cell r="G16">
            <v>0.88724420999999998</v>
          </cell>
        </row>
        <row r="17">
          <cell r="B17" t="str">
            <v>AE38D</v>
          </cell>
          <cell r="C17">
            <v>0.72910900000000001</v>
          </cell>
          <cell r="D17">
            <v>0.73189634999999997</v>
          </cell>
          <cell r="E17">
            <v>0.73018035999999997</v>
          </cell>
          <cell r="F17">
            <v>0.72900739999999997</v>
          </cell>
          <cell r="G17">
            <v>0.73010401000000003</v>
          </cell>
        </row>
        <row r="18">
          <cell r="B18" t="str">
            <v>GD38D</v>
          </cell>
          <cell r="C18">
            <v>0.78777313999999998</v>
          </cell>
          <cell r="D18">
            <v>0.79169111999999997</v>
          </cell>
          <cell r="E18">
            <v>0.78851773999999997</v>
          </cell>
          <cell r="F18">
            <v>0.78813966000000002</v>
          </cell>
          <cell r="G18">
            <v>0.78867346000000005</v>
          </cell>
        </row>
        <row r="19">
          <cell r="B19" t="str">
            <v>AL35D</v>
          </cell>
          <cell r="C19">
            <v>0.69891199999999998</v>
          </cell>
          <cell r="D19">
            <v>0.70043750999999999</v>
          </cell>
          <cell r="E19">
            <v>0.70017711000000005</v>
          </cell>
          <cell r="F19">
            <v>0.69964161000000002</v>
          </cell>
          <cell r="G19">
            <v>0.69752365999999999</v>
          </cell>
        </row>
        <row r="20">
          <cell r="B20" t="str">
            <v>GD35D</v>
          </cell>
          <cell r="C20">
            <v>0.73901961000000005</v>
          </cell>
          <cell r="D20">
            <v>0.74345437000000003</v>
          </cell>
          <cell r="E20">
            <v>0.73758840000000003</v>
          </cell>
          <cell r="F20">
            <v>0.74138506999999998</v>
          </cell>
          <cell r="G20">
            <v>0.73893958999999998</v>
          </cell>
        </row>
        <row r="21">
          <cell r="B21" t="str">
            <v>AL41D</v>
          </cell>
          <cell r="C21">
            <v>0.64957577</v>
          </cell>
          <cell r="D21">
            <v>0.65210818000000004</v>
          </cell>
          <cell r="E21">
            <v>0.64742909999999998</v>
          </cell>
          <cell r="F21">
            <v>0.65049667</v>
          </cell>
          <cell r="G21">
            <v>0.64650901000000005</v>
          </cell>
        </row>
        <row r="22">
          <cell r="B22" t="str">
            <v>GD41D</v>
          </cell>
          <cell r="C22">
            <v>0.68539989000000001</v>
          </cell>
          <cell r="D22">
            <v>0.69215795000000002</v>
          </cell>
          <cell r="E22">
            <v>0.68502668</v>
          </cell>
          <cell r="F22">
            <v>0.68876413999999997</v>
          </cell>
          <cell r="G22">
            <v>0.68921425000000003</v>
          </cell>
        </row>
        <row r="23">
          <cell r="B23" t="str">
            <v>GD46D</v>
          </cell>
          <cell r="C23">
            <v>0.63357999999999992</v>
          </cell>
          <cell r="D23">
            <v>0.6282797</v>
          </cell>
          <cell r="E23">
            <v>0.62329707000000001</v>
          </cell>
          <cell r="F23">
            <v>0.62399901999999996</v>
          </cell>
          <cell r="G23">
            <v>0.62449127999999998</v>
          </cell>
        </row>
        <row r="25">
          <cell r="B25" t="str">
            <v>Bonos Soberanos Hard USD - Contra $</v>
          </cell>
        </row>
        <row r="27">
          <cell r="B27" t="str">
            <v>AO27</v>
          </cell>
          <cell r="C27">
            <v>1595.07930382</v>
          </cell>
          <cell r="D27">
            <v>1603.4716997999999</v>
          </cell>
          <cell r="E27">
            <v>1604.1164756799999</v>
          </cell>
          <cell r="F27">
            <v>1607.9357776300001</v>
          </cell>
          <cell r="G27">
            <v>1616.72560223</v>
          </cell>
        </row>
        <row r="28">
          <cell r="B28" t="str">
            <v>AL30</v>
          </cell>
          <cell r="C28">
            <v>850.17795665999995</v>
          </cell>
          <cell r="D28">
            <v>856.62819062999995</v>
          </cell>
          <cell r="E28">
            <v>851.21788481999999</v>
          </cell>
          <cell r="F28">
            <v>856.63833355999998</v>
          </cell>
          <cell r="G28">
            <v>860.56715446999999</v>
          </cell>
        </row>
        <row r="29">
          <cell r="B29" t="str">
            <v>GD30</v>
          </cell>
          <cell r="C29">
            <v>876.95841951</v>
          </cell>
          <cell r="D29">
            <v>877.86325844999999</v>
          </cell>
          <cell r="E29">
            <v>877.04375371000003</v>
          </cell>
          <cell r="F29">
            <v>879.50233366999998</v>
          </cell>
          <cell r="G29">
            <v>882.81290290000004</v>
          </cell>
        </row>
        <row r="30">
          <cell r="B30" t="str">
            <v>AO28</v>
          </cell>
          <cell r="C30">
            <v>1423.0652202799999</v>
          </cell>
          <cell r="D30">
            <v>1431.63425833</v>
          </cell>
          <cell r="E30">
            <v>1426.32459485</v>
          </cell>
          <cell r="F30">
            <v>1423.63952498</v>
          </cell>
          <cell r="G30">
            <v>1441.2266655400001</v>
          </cell>
        </row>
        <row r="31">
          <cell r="B31" t="str">
            <v>AO29</v>
          </cell>
          <cell r="C31">
            <v>1311.94987378</v>
          </cell>
          <cell r="D31">
            <v>1324.6184797599999</v>
          </cell>
          <cell r="E31">
            <v>1335.1665488599999</v>
          </cell>
          <cell r="F31">
            <v>1327.7804492499999</v>
          </cell>
          <cell r="G31">
            <v>1341.66916414</v>
          </cell>
        </row>
        <row r="32">
          <cell r="B32" t="str">
            <v>AN29</v>
          </cell>
          <cell r="C32">
            <v>1347.09307038</v>
          </cell>
          <cell r="D32">
            <v>1359.9283537900001</v>
          </cell>
          <cell r="E32">
            <v>1365.21850404</v>
          </cell>
          <cell r="F32">
            <v>1357.03851525</v>
          </cell>
          <cell r="G32">
            <v>1382.5753343399999</v>
          </cell>
        </row>
        <row r="33">
          <cell r="B33" t="str">
            <v>AE38</v>
          </cell>
          <cell r="C33">
            <v>1119.93579841</v>
          </cell>
          <cell r="D33">
            <v>1132.4531455399999</v>
          </cell>
          <cell r="E33">
            <v>1133.8393331299999</v>
          </cell>
          <cell r="F33">
            <v>1127.6979035300001</v>
          </cell>
          <cell r="G33">
            <v>1133.6759557600001</v>
          </cell>
        </row>
        <row r="34">
          <cell r="B34" t="str">
            <v>GD38</v>
          </cell>
          <cell r="C34">
            <v>1217.3873780599999</v>
          </cell>
          <cell r="D34">
            <v>1220.0117383899999</v>
          </cell>
          <cell r="E34">
            <v>1221.1131717599999</v>
          </cell>
          <cell r="F34">
            <v>1221.5365212900001</v>
          </cell>
          <cell r="G34">
            <v>1224.4698467000001</v>
          </cell>
        </row>
        <row r="35">
          <cell r="B35" t="str">
            <v>AL35</v>
          </cell>
          <cell r="C35">
            <v>1076.62688882</v>
          </cell>
          <cell r="D35">
            <v>1084.89340472</v>
          </cell>
          <cell r="E35">
            <v>1085.6426758</v>
          </cell>
          <cell r="F35">
            <v>1083.5026868</v>
          </cell>
          <cell r="G35">
            <v>1091.99911107</v>
          </cell>
        </row>
        <row r="36">
          <cell r="B36" t="str">
            <v>GD35</v>
          </cell>
          <cell r="C36">
            <v>1140.9569637500001</v>
          </cell>
          <cell r="D36">
            <v>1144.8601667200001</v>
          </cell>
          <cell r="E36">
            <v>1145.03599061</v>
          </cell>
          <cell r="F36">
            <v>1144.7687915199999</v>
          </cell>
          <cell r="G36">
            <v>1150.1324138299999</v>
          </cell>
        </row>
        <row r="37">
          <cell r="B37" t="str">
            <v>AL41</v>
          </cell>
          <cell r="C37">
            <v>994.24531977000004</v>
          </cell>
          <cell r="D37">
            <v>1006.9270033499999</v>
          </cell>
          <cell r="E37">
            <v>1004.367065</v>
          </cell>
          <cell r="F37">
            <v>1008.07470366</v>
          </cell>
          <cell r="G37">
            <v>1012.30035197</v>
          </cell>
        </row>
        <row r="38">
          <cell r="B38" t="str">
            <v>GD41</v>
          </cell>
          <cell r="C38">
            <v>1053.94079891</v>
          </cell>
          <cell r="D38">
            <v>1066.39671576</v>
          </cell>
          <cell r="E38">
            <v>1065.47013698</v>
          </cell>
          <cell r="F38">
            <v>1067.2252176300001</v>
          </cell>
          <cell r="G38">
            <v>1067.9696698299999</v>
          </cell>
        </row>
        <row r="39">
          <cell r="B39" t="str">
            <v>GD46</v>
          </cell>
          <cell r="C39">
            <v>949.79849089000004</v>
          </cell>
          <cell r="D39">
            <v>974.39452009000001</v>
          </cell>
          <cell r="E39">
            <v>974.9500845</v>
          </cell>
          <cell r="F39">
            <v>968.98220748000006</v>
          </cell>
          <cell r="G39">
            <v>978.19935619</v>
          </cell>
        </row>
        <row r="41">
          <cell r="B41" t="str">
            <v>Bopreales Hard USD</v>
          </cell>
        </row>
        <row r="43">
          <cell r="B43" t="str">
            <v>BPOD7D</v>
          </cell>
          <cell r="C43">
            <v>1.0504653799999999</v>
          </cell>
          <cell r="D43">
            <v>1.0522571000000001</v>
          </cell>
          <cell r="E43">
            <v>1.0513308100000001</v>
          </cell>
          <cell r="F43">
            <v>1.0554821299999999</v>
          </cell>
          <cell r="G43">
            <v>1.0550389499999999</v>
          </cell>
        </row>
        <row r="45">
          <cell r="B45" t="str">
            <v>Bopreales Hard USD - Contra $</v>
          </cell>
        </row>
        <row r="47">
          <cell r="B47" t="str">
            <v>BPOD7</v>
          </cell>
          <cell r="C47">
            <v>1619.46099213</v>
          </cell>
          <cell r="D47">
            <v>1629.8302705399999</v>
          </cell>
          <cell r="E47">
            <v>1625.03191797</v>
          </cell>
          <cell r="F47">
            <v>1635.8457719400001</v>
          </cell>
          <cell r="G47">
            <v>1642.6272458999999</v>
          </cell>
        </row>
        <row r="49">
          <cell r="B49" t="str">
            <v>Bonos Soberanos Descuento</v>
          </cell>
        </row>
        <row r="51">
          <cell r="B51" t="str">
            <v>S30O6</v>
          </cell>
          <cell r="C51">
            <v>1.3467551200000001</v>
          </cell>
          <cell r="D51">
            <v>1.3462021099999999</v>
          </cell>
          <cell r="E51">
            <v>1.34694896</v>
          </cell>
          <cell r="F51">
            <v>1.3476141399999999</v>
          </cell>
          <cell r="G51">
            <v>1.34975763</v>
          </cell>
        </row>
        <row r="52">
          <cell r="B52" t="str">
            <v>S13N6</v>
          </cell>
          <cell r="C52">
            <v>1.0799686399999999</v>
          </cell>
          <cell r="D52">
            <v>1.08108965</v>
          </cell>
          <cell r="E52">
            <v>1.0817655799999999</v>
          </cell>
          <cell r="F52">
            <v>1.08232218</v>
          </cell>
          <cell r="G52">
            <v>1.0844099</v>
          </cell>
        </row>
        <row r="53">
          <cell r="B53" t="str">
            <v>S30N6</v>
          </cell>
          <cell r="C53">
            <v>1.2658785699999999</v>
          </cell>
          <cell r="D53">
            <v>1.2667788499999999</v>
          </cell>
          <cell r="E53">
            <v>1.2678373000000001</v>
          </cell>
          <cell r="F53">
            <v>1.2685053399999999</v>
          </cell>
          <cell r="G53">
            <v>1.2708400799999999</v>
          </cell>
        </row>
        <row r="54">
          <cell r="B54" t="str">
            <v>S29E7</v>
          </cell>
          <cell r="C54">
            <v>1.0468394599999999</v>
          </cell>
          <cell r="D54">
            <v>1.04730795</v>
          </cell>
          <cell r="E54">
            <v>1.0483183599999999</v>
          </cell>
          <cell r="F54">
            <v>1.0484262600000001</v>
          </cell>
          <cell r="G54">
            <v>1.05003987</v>
          </cell>
        </row>
        <row r="56">
          <cell r="B56" t="str">
            <v>Bonos Soberanos Tasa Fija</v>
          </cell>
        </row>
        <row r="58">
          <cell r="B58" t="str">
            <v>T15E7</v>
          </cell>
          <cell r="C58">
            <v>1.5235683499999999</v>
          </cell>
          <cell r="D58">
            <v>1.5249278500000001</v>
          </cell>
          <cell r="E58">
            <v>1.5252739099999999</v>
          </cell>
          <cell r="F58">
            <v>1.52536549</v>
          </cell>
          <cell r="G58">
            <v>1.52741438</v>
          </cell>
        </row>
        <row r="59">
          <cell r="B59" t="str">
            <v>T30A7</v>
          </cell>
          <cell r="C59">
            <v>1.3791142999999999</v>
          </cell>
          <cell r="D59">
            <v>1.38088601</v>
          </cell>
          <cell r="E59">
            <v>1.38344445</v>
          </cell>
          <cell r="F59">
            <v>1.3831674300000001</v>
          </cell>
          <cell r="G59">
            <v>1.3837471800000001</v>
          </cell>
        </row>
        <row r="60">
          <cell r="B60" t="str">
            <v>T31Y7</v>
          </cell>
          <cell r="C60">
            <v>1.2980624199999999</v>
          </cell>
          <cell r="D60">
            <v>1.3009219000000001</v>
          </cell>
          <cell r="E60">
            <v>1.3035093099999999</v>
          </cell>
          <cell r="F60">
            <v>1.30360034</v>
          </cell>
          <cell r="G60">
            <v>1.3062423299999999</v>
          </cell>
        </row>
        <row r="61">
          <cell r="B61" t="str">
            <v>T30J7</v>
          </cell>
          <cell r="C61">
            <v>1.31927609</v>
          </cell>
          <cell r="D61">
            <v>1.32152921</v>
          </cell>
          <cell r="E61">
            <v>1.31171438</v>
          </cell>
          <cell r="F61">
            <v>1.3173866117092099</v>
          </cell>
          <cell r="G61">
            <v>1.325</v>
          </cell>
        </row>
        <row r="62">
          <cell r="B62" t="str">
            <v>TY30P</v>
          </cell>
          <cell r="C62">
            <v>1.1298443199999999</v>
          </cell>
          <cell r="D62">
            <v>1.1330680799999999</v>
          </cell>
          <cell r="E62">
            <v>1.1338065900000001</v>
          </cell>
          <cell r="F62">
            <v>1.13162951</v>
          </cell>
          <cell r="G62">
            <v>1.13381526</v>
          </cell>
        </row>
        <row r="64">
          <cell r="B64" t="str">
            <v>Bonos Soberanos Tasa Fija - Tamar</v>
          </cell>
        </row>
        <row r="66">
          <cell r="B66" t="str">
            <v>TTD26</v>
          </cell>
          <cell r="C66">
            <v>1.7438435000000001</v>
          </cell>
          <cell r="D66">
            <v>1.7457688899999999</v>
          </cell>
          <cell r="E66">
            <v>1.7475036100000001</v>
          </cell>
          <cell r="F66">
            <v>1.7461955300000001</v>
          </cell>
          <cell r="G66">
            <v>1.7510255800000001</v>
          </cell>
        </row>
        <row r="68">
          <cell r="B68" t="str">
            <v>Bonos Soberanos TAMAR</v>
          </cell>
        </row>
        <row r="70">
          <cell r="B70" t="str">
            <v>TMF27</v>
          </cell>
          <cell r="C70">
            <v>1.26114211</v>
          </cell>
          <cell r="D70">
            <v>1.2627306899999999</v>
          </cell>
          <cell r="E70">
            <v>1.26323282</v>
          </cell>
          <cell r="F70">
            <v>1.26454932</v>
          </cell>
          <cell r="G70">
            <v>1.2669077200000001</v>
          </cell>
        </row>
        <row r="71">
          <cell r="B71" t="str">
            <v>TML27</v>
          </cell>
          <cell r="C71">
            <v>1.1153652149836599</v>
          </cell>
          <cell r="D71">
            <v>1.11652306</v>
          </cell>
          <cell r="E71">
            <v>1.1193425800000001</v>
          </cell>
          <cell r="F71">
            <v>1.1209920600000001</v>
          </cell>
          <cell r="G71">
            <v>1.12313106</v>
          </cell>
        </row>
        <row r="72">
          <cell r="B72" t="str">
            <v>TMG27</v>
          </cell>
          <cell r="C72">
            <v>1.2120161</v>
          </cell>
          <cell r="D72">
            <v>1.2122706000000001</v>
          </cell>
          <cell r="E72">
            <v>1.2152442000000001</v>
          </cell>
          <cell r="F72">
            <v>1.2064958400000001</v>
          </cell>
          <cell r="G72">
            <v>1.2090702600000001</v>
          </cell>
        </row>
        <row r="73">
          <cell r="B73" t="str">
            <v>TMG28</v>
          </cell>
          <cell r="C73">
            <v>1.10149952</v>
          </cell>
          <cell r="D73">
            <v>1.1015386300000001</v>
          </cell>
          <cell r="E73">
            <v>1.10396136</v>
          </cell>
          <cell r="F73">
            <v>1.10150094</v>
          </cell>
          <cell r="G73">
            <v>1.10250056</v>
          </cell>
        </row>
        <row r="75">
          <cell r="B75" t="str">
            <v>Bonos Soberanos CER - TAMAR</v>
          </cell>
        </row>
        <row r="77">
          <cell r="B77" t="str">
            <v>TXMJ8</v>
          </cell>
          <cell r="C77">
            <v>1.0378775099999999</v>
          </cell>
          <cell r="D77">
            <v>1.0349368299999999</v>
          </cell>
          <cell r="E77">
            <v>1.0424027600000001</v>
          </cell>
          <cell r="F77">
            <v>1.03954547</v>
          </cell>
          <cell r="G77">
            <v>1.04150867</v>
          </cell>
        </row>
        <row r="78">
          <cell r="B78" t="str">
            <v>TXMD8</v>
          </cell>
          <cell r="C78">
            <v>0.97050639000000005</v>
          </cell>
          <cell r="D78">
            <v>0.96700498000000001</v>
          </cell>
          <cell r="E78">
            <v>0.97000193000000001</v>
          </cell>
          <cell r="F78">
            <v>0.96773989999999999</v>
          </cell>
          <cell r="G78">
            <v>0.96802235000000003</v>
          </cell>
        </row>
        <row r="79">
          <cell r="B79" t="str">
            <v>TXMJ9</v>
          </cell>
          <cell r="C79">
            <v>0.94800446999999999</v>
          </cell>
          <cell r="D79">
            <v>0.94940062999999997</v>
          </cell>
          <cell r="E79">
            <v>0.95250014000000005</v>
          </cell>
          <cell r="F79">
            <v>0.94847409000000005</v>
          </cell>
          <cell r="G79">
            <v>0.95361313999999997</v>
          </cell>
        </row>
        <row r="80">
          <cell r="B80" t="str">
            <v>TXMD9</v>
          </cell>
          <cell r="C80">
            <v>0.88039588000000002</v>
          </cell>
          <cell r="D80">
            <v>0.88108792000000002</v>
          </cell>
          <cell r="E80">
            <v>0.88141670000000005</v>
          </cell>
          <cell r="F80">
            <v>0.88032469999999996</v>
          </cell>
          <cell r="G80">
            <v>0.88135832999999997</v>
          </cell>
        </row>
        <row r="81">
          <cell r="B81" t="str">
            <v>TXMJ0</v>
          </cell>
          <cell r="C81">
            <v>0.85164658999999998</v>
          </cell>
          <cell r="D81">
            <v>0.85150086000000003</v>
          </cell>
          <cell r="E81">
            <v>0.85225236999999998</v>
          </cell>
          <cell r="F81">
            <v>0.85099888999999995</v>
          </cell>
          <cell r="G81">
            <v>0.85511671</v>
          </cell>
        </row>
        <row r="83">
          <cell r="B83" t="str">
            <v>Bonos Soberanos CER - TAMAR</v>
          </cell>
        </row>
        <row r="85">
          <cell r="B85" t="str">
            <v>TZXO6</v>
          </cell>
          <cell r="C85">
            <v>1.7690655900000001</v>
          </cell>
          <cell r="D85">
            <v>1.7708283199999999</v>
          </cell>
          <cell r="E85">
            <v>1.7724536900000001</v>
          </cell>
          <cell r="F85">
            <v>1.7732414000000001</v>
          </cell>
          <cell r="G85">
            <v>1.7769350399999999</v>
          </cell>
        </row>
        <row r="86">
          <cell r="B86" t="str">
            <v>TX26</v>
          </cell>
          <cell r="C86">
            <v>7.5878352400000004</v>
          </cell>
          <cell r="D86">
            <v>7.5937811200000001</v>
          </cell>
          <cell r="E86">
            <v>7.5999057900000002</v>
          </cell>
          <cell r="F86">
            <v>7.6042885900000003</v>
          </cell>
          <cell r="G86">
            <v>7.6160172499999996</v>
          </cell>
        </row>
        <row r="87">
          <cell r="B87" t="str">
            <v>X30N6</v>
          </cell>
          <cell r="C87">
            <v>1.28512731</v>
          </cell>
          <cell r="D87">
            <v>1.2854595799999999</v>
          </cell>
          <cell r="E87">
            <v>1.2865622699999999</v>
          </cell>
          <cell r="F87">
            <v>1.2871974799999999</v>
          </cell>
          <cell r="G87">
            <v>1.2895291</v>
          </cell>
        </row>
        <row r="88">
          <cell r="B88" t="str">
            <v>TZXD6</v>
          </cell>
          <cell r="C88">
            <v>3.1237230500000002</v>
          </cell>
          <cell r="D88">
            <v>3.12464619</v>
          </cell>
          <cell r="E88">
            <v>3.1273752899999998</v>
          </cell>
          <cell r="F88">
            <v>3.14764607</v>
          </cell>
          <cell r="G88">
            <v>3.1338167700000001</v>
          </cell>
        </row>
        <row r="89">
          <cell r="B89" t="str">
            <v>X29E7</v>
          </cell>
          <cell r="C89">
            <v>1.03625682</v>
          </cell>
          <cell r="D89">
            <v>1.03749885</v>
          </cell>
          <cell r="E89">
            <v>1.0379849699999999</v>
          </cell>
          <cell r="F89">
            <v>1.0381291100000001</v>
          </cell>
          <cell r="G89">
            <v>1.0403325299999999</v>
          </cell>
        </row>
        <row r="90">
          <cell r="B90" t="str">
            <v>TZXM7</v>
          </cell>
          <cell r="C90">
            <v>2.3285294900000002</v>
          </cell>
          <cell r="D90">
            <v>2.3298943300000001</v>
          </cell>
          <cell r="E90">
            <v>2.3315063999999999</v>
          </cell>
          <cell r="F90">
            <v>2.3329366500000002</v>
          </cell>
          <cell r="G90">
            <v>2.336303</v>
          </cell>
        </row>
        <row r="91">
          <cell r="B91" t="str">
            <v>TZXA7</v>
          </cell>
          <cell r="C91">
            <v>1.28404717</v>
          </cell>
          <cell r="D91">
            <v>1.28724576</v>
          </cell>
          <cell r="E91">
            <v>1.2895944800000001</v>
          </cell>
          <cell r="F91">
            <v>1.29099644</v>
          </cell>
          <cell r="G91">
            <v>1.2914996599999999</v>
          </cell>
        </row>
        <row r="92">
          <cell r="B92" t="str">
            <v>TZXY7</v>
          </cell>
          <cell r="C92">
            <v>1.26702314</v>
          </cell>
          <cell r="D92">
            <v>1.2677409399999999</v>
          </cell>
          <cell r="E92">
            <v>1.26960213</v>
          </cell>
          <cell r="F92">
            <v>1.2698233400000001</v>
          </cell>
          <cell r="G92">
            <v>1.2711267399999999</v>
          </cell>
        </row>
        <row r="93">
          <cell r="B93" t="str">
            <v>TZX27</v>
          </cell>
          <cell r="C93">
            <v>4.1445826600000002</v>
          </cell>
          <cell r="D93">
            <v>4.1452876099999996</v>
          </cell>
          <cell r="E93">
            <v>4.15149597</v>
          </cell>
          <cell r="F93">
            <v>4.15369308</v>
          </cell>
          <cell r="G93">
            <v>4.1552726699999996</v>
          </cell>
        </row>
        <row r="94">
          <cell r="B94" t="str">
            <v>TZXS7</v>
          </cell>
          <cell r="C94">
            <v>1.12673896</v>
          </cell>
          <cell r="D94">
            <v>1.1264308700000001</v>
          </cell>
          <cell r="E94">
            <v>1.1262223</v>
          </cell>
          <cell r="F94">
            <v>1.12617609</v>
          </cell>
          <cell r="G94">
            <v>1.1269521499999999</v>
          </cell>
        </row>
        <row r="95">
          <cell r="B95" t="str">
            <v>TZXO7</v>
          </cell>
          <cell r="C95">
            <v>1.0166987700000001</v>
          </cell>
          <cell r="D95">
            <v>1.0215940000000001</v>
          </cell>
          <cell r="E95">
            <v>1.0229999999999999</v>
          </cell>
          <cell r="F95">
            <v>1.02246035</v>
          </cell>
          <cell r="G95">
            <v>1.0249853200000001</v>
          </cell>
        </row>
        <row r="96">
          <cell r="B96" t="str">
            <v>TZXD7</v>
          </cell>
          <cell r="C96">
            <v>2.9025093200000001</v>
          </cell>
          <cell r="D96">
            <v>2.8988112400000001</v>
          </cell>
          <cell r="E96">
            <v>2.9093671799999998</v>
          </cell>
          <cell r="F96">
            <v>2.9057247899999998</v>
          </cell>
          <cell r="G96">
            <v>2.9109176400000001</v>
          </cell>
        </row>
        <row r="97">
          <cell r="B97" t="str">
            <v>TZXM8</v>
          </cell>
          <cell r="C97">
            <v>1.03936071</v>
          </cell>
          <cell r="D97">
            <v>1.0492393099999999</v>
          </cell>
          <cell r="E97">
            <v>1.0453569700000001</v>
          </cell>
          <cell r="F97">
            <v>1.0446926000000001</v>
          </cell>
          <cell r="G97">
            <v>1.0490694199999999</v>
          </cell>
        </row>
        <row r="98">
          <cell r="B98" t="str">
            <v>TZX28</v>
          </cell>
          <cell r="C98">
            <v>3.61664108</v>
          </cell>
          <cell r="D98">
            <v>3.6326244999999999</v>
          </cell>
          <cell r="E98">
            <v>3.6433714799999999</v>
          </cell>
          <cell r="F98">
            <v>3.6413042799999999</v>
          </cell>
          <cell r="G98">
            <v>3.6483782300000001</v>
          </cell>
        </row>
        <row r="99">
          <cell r="B99" t="str">
            <v>TZXS8</v>
          </cell>
          <cell r="C99">
            <v>0.98362095000000005</v>
          </cell>
          <cell r="D99">
            <v>0.98249960000000003</v>
          </cell>
          <cell r="E99">
            <v>0.98438888999999996</v>
          </cell>
          <cell r="F99">
            <v>0.98200600999999998</v>
          </cell>
          <cell r="G99">
            <v>0.98332536999999998</v>
          </cell>
        </row>
        <row r="100">
          <cell r="B100" t="str">
            <v>TZXD8</v>
          </cell>
          <cell r="C100">
            <v>0.87749999999999995</v>
          </cell>
          <cell r="D100">
            <v>0.87882985000000002</v>
          </cell>
          <cell r="E100">
            <v>0.87983224000000004</v>
          </cell>
          <cell r="F100">
            <v>0.87518008000000003</v>
          </cell>
          <cell r="G100">
            <v>0.87481065000000002</v>
          </cell>
        </row>
        <row r="101">
          <cell r="B101" t="str">
            <v>TZXM9</v>
          </cell>
          <cell r="C101">
            <v>0.93130204000000005</v>
          </cell>
          <cell r="D101">
            <v>0.92414275000000001</v>
          </cell>
          <cell r="E101">
            <v>0.92962405999999997</v>
          </cell>
          <cell r="F101">
            <v>0.92612943000000003</v>
          </cell>
          <cell r="G101">
            <v>0.92561517000000004</v>
          </cell>
        </row>
        <row r="102">
          <cell r="B102" t="str">
            <v>DICP</v>
          </cell>
          <cell r="C102">
            <v>494.97655530999998</v>
          </cell>
          <cell r="D102">
            <v>493.70228537000003</v>
          </cell>
          <cell r="E102">
            <v>495.02516274999999</v>
          </cell>
          <cell r="F102">
            <v>494.75446727000002</v>
          </cell>
          <cell r="G102">
            <v>494.45902364</v>
          </cell>
        </row>
        <row r="104">
          <cell r="B104" t="str">
            <v>Bonos Soberanos Dólar Linked</v>
          </cell>
        </row>
        <row r="106">
          <cell r="B106" t="str">
            <v>D30O6</v>
          </cell>
          <cell r="C106">
            <v>1517.7250771700001</v>
          </cell>
          <cell r="D106">
            <v>1523.44195599</v>
          </cell>
          <cell r="E106">
            <v>1524.06621236</v>
          </cell>
          <cell r="F106">
            <v>1522.39014688</v>
          </cell>
          <cell r="G106">
            <v>1528.9208177600001</v>
          </cell>
        </row>
        <row r="107">
          <cell r="B107" t="str">
            <v>D30N6</v>
          </cell>
          <cell r="C107">
            <v>1512.6933507900001</v>
          </cell>
          <cell r="D107">
            <v>1515.92996679</v>
          </cell>
          <cell r="E107">
            <v>1517.5783862876699</v>
          </cell>
          <cell r="F107">
            <v>1519.3747687299999</v>
          </cell>
          <cell r="G107">
            <v>1523.3900214499999</v>
          </cell>
        </row>
        <row r="108">
          <cell r="B108" t="str">
            <v>D15E7</v>
          </cell>
          <cell r="E108">
            <v>1519.34405199</v>
          </cell>
          <cell r="F108">
            <v>1516.23422895</v>
          </cell>
          <cell r="G108">
            <v>1521.8591414699999</v>
          </cell>
        </row>
        <row r="110">
          <cell r="B110" t="str">
            <v>Bonos Soberanos Dólar Linked - TAMAR</v>
          </cell>
        </row>
        <row r="112">
          <cell r="B112" t="str">
            <v>TMVE8</v>
          </cell>
          <cell r="C112">
            <v>1447.18070072</v>
          </cell>
          <cell r="D112">
            <v>1445.02764095</v>
          </cell>
          <cell r="E112">
            <v>1451.5325221999999</v>
          </cell>
          <cell r="F112">
            <v>1452.11496145</v>
          </cell>
          <cell r="G112">
            <v>1455.8366993100001</v>
          </cell>
        </row>
        <row r="114">
          <cell r="B114" t="str">
            <v>Títulos Provinciales CER</v>
          </cell>
        </row>
        <row r="116">
          <cell r="B116" t="str">
            <v>COY27</v>
          </cell>
          <cell r="C116">
            <v>2.3565880300000002</v>
          </cell>
          <cell r="D116">
            <v>2.3574175899999998</v>
          </cell>
          <cell r="E116">
            <v>2.3589251</v>
          </cell>
          <cell r="F116">
            <v>2.3611798500000001</v>
          </cell>
          <cell r="G116">
            <v>2.3661080700000001</v>
          </cell>
        </row>
        <row r="118">
          <cell r="B118" t="str">
            <v>Títulos Provinciales Tamar</v>
          </cell>
        </row>
        <row r="120">
          <cell r="B120" t="str">
            <v>CO2D7</v>
          </cell>
          <cell r="C120">
            <v>1.0054575299999999</v>
          </cell>
          <cell r="D120">
            <v>1.0074071899999999</v>
          </cell>
          <cell r="E120">
            <v>1.0132234899999999</v>
          </cell>
          <cell r="F120">
            <v>1.0284163500000001</v>
          </cell>
          <cell r="G120">
            <v>1.0292777399999999</v>
          </cell>
        </row>
        <row r="122">
          <cell r="B122" t="str">
            <v>Títulos Provinciales Hard USD</v>
          </cell>
        </row>
        <row r="124">
          <cell r="B124" t="str">
            <v>SJO5D</v>
          </cell>
          <cell r="C124">
            <v>1.03634497</v>
          </cell>
          <cell r="D124">
            <v>1.03595536</v>
          </cell>
          <cell r="E124">
            <v>1.0355170199999999</v>
          </cell>
          <cell r="F124">
            <v>1.0397505</v>
          </cell>
          <cell r="G124">
            <v>1.03928792</v>
          </cell>
        </row>
        <row r="126">
          <cell r="B126" t="str">
            <v>Títulos Provinciales Hard USD - Contra $</v>
          </cell>
        </row>
        <row r="128">
          <cell r="B128" t="str">
            <v>SJO35</v>
          </cell>
          <cell r="C128">
            <v>1592.02612417</v>
          </cell>
          <cell r="D128">
            <v>1603.0854982799999</v>
          </cell>
          <cell r="E128">
            <v>1602.6</v>
          </cell>
          <cell r="F128">
            <v>1611.4892671699999</v>
          </cell>
          <cell r="G128">
            <v>1624.3089148900001</v>
          </cell>
        </row>
        <row r="130">
          <cell r="B130" t="str">
            <v>Obligaciones Negociables Badlar</v>
          </cell>
        </row>
        <row r="132">
          <cell r="B132" t="str">
            <v>CH9BO</v>
          </cell>
          <cell r="C132">
            <v>1.0000000000000001E-9</v>
          </cell>
          <cell r="D132">
            <v>1.0000000000000001E-9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</row>
        <row r="133">
          <cell r="B133" t="str">
            <v>DRSEO</v>
          </cell>
          <cell r="C133">
            <v>1.0000000000000001E-9</v>
          </cell>
          <cell r="D133">
            <v>1.0000000000000001E-9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</row>
        <row r="134">
          <cell r="B134" t="str">
            <v>DRDCO</v>
          </cell>
          <cell r="C134">
            <v>1.0000000000000001E-9</v>
          </cell>
          <cell r="D134">
            <v>1.0000000000000001E-9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</row>
        <row r="136">
          <cell r="B136" t="str">
            <v>Obligaciones Negociables Tamar</v>
          </cell>
        </row>
        <row r="138">
          <cell r="B138" t="str">
            <v>IP11P</v>
          </cell>
          <cell r="C138">
            <v>0.7248464</v>
          </cell>
          <cell r="D138">
            <v>0.72521009000000003</v>
          </cell>
          <cell r="E138">
            <v>0.72579167</v>
          </cell>
          <cell r="F138">
            <v>0.72565024</v>
          </cell>
          <cell r="G138">
            <v>0.72695712999999995</v>
          </cell>
        </row>
        <row r="139">
          <cell r="B139" t="str">
            <v>LMS1P</v>
          </cell>
          <cell r="C139">
            <v>0.52641916</v>
          </cell>
          <cell r="D139">
            <v>0.52666712999999998</v>
          </cell>
          <cell r="E139">
            <v>0.52713072999999999</v>
          </cell>
          <cell r="F139">
            <v>0.52685990000000005</v>
          </cell>
          <cell r="G139">
            <v>0.52781358</v>
          </cell>
        </row>
        <row r="140">
          <cell r="B140" t="str">
            <v>PES1L</v>
          </cell>
          <cell r="C140">
            <v>0.75923313000000003</v>
          </cell>
          <cell r="D140">
            <v>0.75964491999999995</v>
          </cell>
          <cell r="E140">
            <v>0.76033709000000005</v>
          </cell>
          <cell r="F140">
            <v>0.75989715999999996</v>
          </cell>
          <cell r="G140">
            <v>0.76127891000000003</v>
          </cell>
        </row>
        <row r="141">
          <cell r="B141" t="str">
            <v>FSS1L</v>
          </cell>
          <cell r="C141">
            <v>0.79655374000000001</v>
          </cell>
          <cell r="D141">
            <v>0.79700146999999999</v>
          </cell>
          <cell r="E141">
            <v>0.79770914999999998</v>
          </cell>
          <cell r="F141">
            <v>0.79732174</v>
          </cell>
          <cell r="G141">
            <v>0.79877286999999997</v>
          </cell>
        </row>
        <row r="142">
          <cell r="B142" t="str">
            <v>DJS1L</v>
          </cell>
          <cell r="C142">
            <v>0.77356179000000003</v>
          </cell>
          <cell r="D142">
            <v>0.77404083000000001</v>
          </cell>
          <cell r="E142">
            <v>0.77474957</v>
          </cell>
          <cell r="F142">
            <v>0.77434276000000002</v>
          </cell>
          <cell r="G142">
            <v>0.77575461000000001</v>
          </cell>
        </row>
        <row r="143">
          <cell r="B143" t="str">
            <v>CZ11L</v>
          </cell>
          <cell r="C143">
            <v>1.0557977000000001</v>
          </cell>
          <cell r="D143">
            <v>1.0564358199999999</v>
          </cell>
          <cell r="E143">
            <v>1.0574014899999999</v>
          </cell>
          <cell r="F143">
            <v>1.0568404199999999</v>
          </cell>
          <cell r="G143">
            <v>1.05876937</v>
          </cell>
        </row>
        <row r="144">
          <cell r="B144" t="str">
            <v>AKS1L</v>
          </cell>
          <cell r="C144">
            <v>1.03261969</v>
          </cell>
          <cell r="D144">
            <v>1.0333768999999999</v>
          </cell>
          <cell r="E144">
            <v>1.03431655</v>
          </cell>
          <cell r="F144">
            <v>1.03386326</v>
          </cell>
          <cell r="G144">
            <v>1.03575671</v>
          </cell>
        </row>
        <row r="145">
          <cell r="B145" t="str">
            <v>SQS1L</v>
          </cell>
          <cell r="C145">
            <v>1.04042173</v>
          </cell>
          <cell r="D145">
            <v>1.0411433400000001</v>
          </cell>
          <cell r="E145">
            <v>1.04199723</v>
          </cell>
          <cell r="F145">
            <v>1.0419172000000001</v>
          </cell>
          <cell r="G145">
            <v>1.0438247199999999</v>
          </cell>
        </row>
        <row r="146">
          <cell r="B146" t="str">
            <v>CHS1L</v>
          </cell>
          <cell r="C146">
            <v>1.0379155</v>
          </cell>
          <cell r="D146">
            <v>1.03869111</v>
          </cell>
          <cell r="E146">
            <v>1.03946871</v>
          </cell>
          <cell r="F146">
            <v>1.0397782</v>
          </cell>
          <cell r="G146">
            <v>1.0416755499999999</v>
          </cell>
        </row>
        <row r="147">
          <cell r="B147" t="str">
            <v>GES2L</v>
          </cell>
          <cell r="C147">
            <v>1.0128592000000001</v>
          </cell>
          <cell r="D147">
            <v>1.0135879999999999</v>
          </cell>
          <cell r="E147">
            <v>1.01427277</v>
          </cell>
          <cell r="F147">
            <v>1.0148332</v>
          </cell>
          <cell r="G147">
            <v>1.0166974600000001</v>
          </cell>
        </row>
        <row r="148">
          <cell r="B148" t="str">
            <v>AKS2L</v>
          </cell>
          <cell r="C148">
            <v>1.0207893299999999</v>
          </cell>
          <cell r="D148">
            <v>1.02147864</v>
          </cell>
          <cell r="E148">
            <v>1.0221611100000001</v>
          </cell>
          <cell r="F148">
            <v>1.02274709</v>
          </cell>
          <cell r="G148">
            <v>1.02463612</v>
          </cell>
        </row>
        <row r="149">
          <cell r="B149" t="str">
            <v>SXC5O</v>
          </cell>
          <cell r="C149">
            <v>1.04565635</v>
          </cell>
          <cell r="D149">
            <v>1.0463433600000001</v>
          </cell>
          <cell r="E149">
            <v>1.04716784</v>
          </cell>
          <cell r="F149">
            <v>1.0476703599999999</v>
          </cell>
          <cell r="G149">
            <v>1.04991945</v>
          </cell>
        </row>
        <row r="150">
          <cell r="B150" t="str">
            <v>BF38O</v>
          </cell>
          <cell r="C150">
            <v>1.0467120999999999</v>
          </cell>
          <cell r="D150">
            <v>1.04740017</v>
          </cell>
          <cell r="E150">
            <v>1.04823183</v>
          </cell>
          <cell r="F150">
            <v>1.0487237199999999</v>
          </cell>
          <cell r="G150">
            <v>1.05097416</v>
          </cell>
        </row>
        <row r="151">
          <cell r="B151" t="str">
            <v>RC3CO</v>
          </cell>
          <cell r="C151">
            <v>1.0266301200000001</v>
          </cell>
          <cell r="D151">
            <v>1.02728654</v>
          </cell>
          <cell r="E151">
            <v>1.02817599</v>
          </cell>
          <cell r="F151">
            <v>1.02850971</v>
          </cell>
          <cell r="G151">
            <v>1.0307332199999999</v>
          </cell>
        </row>
        <row r="152">
          <cell r="B152" t="str">
            <v>SXC3O</v>
          </cell>
          <cell r="C152">
            <v>1.0454507500000001</v>
          </cell>
          <cell r="D152">
            <v>1.04620096</v>
          </cell>
          <cell r="E152">
            <v>1.0472319000000001</v>
          </cell>
          <cell r="F152">
            <v>1.0474775300000001</v>
          </cell>
          <cell r="G152">
            <v>1.0497576399999999</v>
          </cell>
        </row>
        <row r="153">
          <cell r="B153" t="str">
            <v>RC4CO</v>
          </cell>
          <cell r="C153">
            <v>1.0434868399999999</v>
          </cell>
          <cell r="D153">
            <v>1.0442368399999999</v>
          </cell>
          <cell r="E153">
            <v>1.04526896</v>
          </cell>
          <cell r="F153">
            <v>1.0455129000000001</v>
          </cell>
          <cell r="G153">
            <v>1.04779114</v>
          </cell>
        </row>
        <row r="154">
          <cell r="B154" t="str">
            <v>BF41O</v>
          </cell>
          <cell r="C154">
            <v>1.03615656</v>
          </cell>
          <cell r="D154">
            <v>1.0369198900000001</v>
          </cell>
          <cell r="E154">
            <v>1.0379537700000001</v>
          </cell>
          <cell r="F154">
            <v>1.03820573</v>
          </cell>
          <cell r="G154">
            <v>1.0404669</v>
          </cell>
        </row>
        <row r="155">
          <cell r="B155" t="str">
            <v>ICC5O</v>
          </cell>
          <cell r="C155">
            <v>1.0298</v>
          </cell>
          <cell r="D155">
            <v>1.0314787700000001</v>
          </cell>
          <cell r="E155">
            <v>1.0325156799999999</v>
          </cell>
          <cell r="F155">
            <v>1.03277095</v>
          </cell>
          <cell r="G155">
            <v>1.0350251699999999</v>
          </cell>
        </row>
        <row r="156">
          <cell r="B156" t="str">
            <v>BNCXO</v>
          </cell>
          <cell r="C156">
            <v>1.06227867</v>
          </cell>
          <cell r="D156">
            <v>1.06318764</v>
          </cell>
          <cell r="E156">
            <v>1.0642838299999999</v>
          </cell>
          <cell r="F156">
            <v>1.06471749</v>
          </cell>
          <cell r="G156">
            <v>1.06705246</v>
          </cell>
        </row>
        <row r="157">
          <cell r="B157" t="str">
            <v>NZC1O</v>
          </cell>
          <cell r="C157">
            <v>1.0586518199999999</v>
          </cell>
          <cell r="D157">
            <v>1.0595915600000001</v>
          </cell>
          <cell r="E157">
            <v>1.0603</v>
          </cell>
          <cell r="F157">
            <v>1.0595000000000001</v>
          </cell>
          <cell r="G157">
            <v>1.0634870599999999</v>
          </cell>
        </row>
        <row r="158">
          <cell r="B158" t="str">
            <v>SXC6O</v>
          </cell>
          <cell r="C158">
            <v>1.04466057</v>
          </cell>
          <cell r="D158">
            <v>1.0456105600000001</v>
          </cell>
          <cell r="E158">
            <v>1.0466868</v>
          </cell>
          <cell r="F158">
            <v>1.0471907300000001</v>
          </cell>
          <cell r="G158">
            <v>1.04949308</v>
          </cell>
        </row>
        <row r="159">
          <cell r="B159" t="str">
            <v>BF46O</v>
          </cell>
          <cell r="C159">
            <v>1.04391839</v>
          </cell>
          <cell r="D159">
            <v>1.0448779500000001</v>
          </cell>
          <cell r="E159">
            <v>1.0459547199999999</v>
          </cell>
          <cell r="F159">
            <v>1.04647332</v>
          </cell>
          <cell r="G159">
            <v>1.04877372</v>
          </cell>
        </row>
        <row r="160">
          <cell r="B160" t="str">
            <v>ICC7O</v>
          </cell>
          <cell r="C160">
            <v>1.0225680399999999</v>
          </cell>
          <cell r="D160">
            <v>1.02358441</v>
          </cell>
          <cell r="E160">
            <v>1.0246410699999999</v>
          </cell>
          <cell r="F160">
            <v>1.0252910200000001</v>
          </cell>
          <cell r="G160">
            <v>1.02755726</v>
          </cell>
        </row>
        <row r="161">
          <cell r="B161" t="str">
            <v>BNCYO</v>
          </cell>
          <cell r="C161">
            <v>1.0179630500000001</v>
          </cell>
          <cell r="D161">
            <v>1.0189932900000001</v>
          </cell>
          <cell r="E161">
            <v>1.0200445499999999</v>
          </cell>
          <cell r="F161">
            <v>1.0207285699999999</v>
          </cell>
          <cell r="G161">
            <v>1.0229867100000001</v>
          </cell>
        </row>
        <row r="162">
          <cell r="B162" t="str">
            <v>BYY1O</v>
          </cell>
          <cell r="C162">
            <v>1.0317423999999999</v>
          </cell>
          <cell r="D162">
            <v>1.03273975</v>
          </cell>
          <cell r="E162">
            <v>1.03380619</v>
          </cell>
          <cell r="F162">
            <v>1.03440639</v>
          </cell>
          <cell r="G162">
            <v>1.0366869599999999</v>
          </cell>
        </row>
        <row r="163">
          <cell r="B163" t="str">
            <v>BF47O</v>
          </cell>
          <cell r="C163">
            <v>1.028038</v>
          </cell>
          <cell r="D163">
            <v>1.0290370600000001</v>
          </cell>
          <cell r="E163">
            <v>1.03009971</v>
          </cell>
          <cell r="F163">
            <v>1.0307102100000001</v>
          </cell>
          <cell r="G163">
            <v>1.0329870800000001</v>
          </cell>
        </row>
        <row r="164">
          <cell r="B164" t="str">
            <v>NZC4O</v>
          </cell>
          <cell r="C164">
            <v>1.0019171899999999</v>
          </cell>
          <cell r="D164">
            <v>1.0029964099999999</v>
          </cell>
          <cell r="E164">
            <v>1.0058</v>
          </cell>
          <cell r="F164">
            <v>1.0048389799999999</v>
          </cell>
          <cell r="G164">
            <v>1.00706864</v>
          </cell>
        </row>
        <row r="165">
          <cell r="B165" t="str">
            <v>SXC8O</v>
          </cell>
          <cell r="C165">
            <v>1.0468617099999999</v>
          </cell>
          <cell r="D165">
            <v>1.04808196</v>
          </cell>
          <cell r="E165">
            <v>1.0491191</v>
          </cell>
          <cell r="F165">
            <v>1.0502539099999999</v>
          </cell>
          <cell r="G165">
            <v>1.05259503</v>
          </cell>
        </row>
        <row r="166">
          <cell r="B166" t="str">
            <v>PWC1O</v>
          </cell>
          <cell r="C166">
            <v>1.0249362200000001</v>
          </cell>
          <cell r="D166">
            <v>1.02620775</v>
          </cell>
          <cell r="E166">
            <v>1.02720604</v>
          </cell>
          <cell r="F166">
            <v>1.02852218</v>
          </cell>
          <cell r="G166">
            <v>1.0308213399999999</v>
          </cell>
        </row>
        <row r="167">
          <cell r="B167" t="str">
            <v>T661O</v>
          </cell>
          <cell r="C167">
            <v>1.0415809899999999</v>
          </cell>
          <cell r="D167">
            <v>1.0421946900000001</v>
          </cell>
          <cell r="E167">
            <v>1.0467</v>
          </cell>
          <cell r="F167">
            <v>1.0433165</v>
          </cell>
          <cell r="G167">
            <v>1.0494000000000001</v>
          </cell>
        </row>
        <row r="168">
          <cell r="B168" t="str">
            <v>PS35O</v>
          </cell>
          <cell r="C168">
            <v>1.0257151200000001</v>
          </cell>
          <cell r="D168">
            <v>1.02629226</v>
          </cell>
          <cell r="E168">
            <v>1.0271059499999999</v>
          </cell>
          <cell r="F168">
            <v>1.02726417</v>
          </cell>
          <cell r="G168">
            <v>1.0298680200000001</v>
          </cell>
        </row>
        <row r="169">
          <cell r="B169" t="str">
            <v>T671O</v>
          </cell>
          <cell r="C169">
            <v>1.0504493399999999</v>
          </cell>
          <cell r="D169">
            <v>1.0511174400000001</v>
          </cell>
          <cell r="E169">
            <v>1.0518825999999999</v>
          </cell>
          <cell r="F169">
            <v>1.05185913</v>
          </cell>
          <cell r="G169">
            <v>1.0548</v>
          </cell>
        </row>
        <row r="170">
          <cell r="B170" t="str">
            <v>PVC6O</v>
          </cell>
          <cell r="C170">
            <v>1.03330031</v>
          </cell>
          <cell r="D170">
            <v>1.03397513</v>
          </cell>
          <cell r="E170">
            <v>1.03470554</v>
          </cell>
          <cell r="F170">
            <v>1.0347131599999999</v>
          </cell>
          <cell r="G170">
            <v>1.0383391</v>
          </cell>
        </row>
        <row r="171">
          <cell r="B171" t="str">
            <v>DHSLO</v>
          </cell>
          <cell r="C171">
            <v>1.0386238800000001</v>
          </cell>
          <cell r="D171">
            <v>1.03934097</v>
          </cell>
          <cell r="E171">
            <v>1.0401437200000001</v>
          </cell>
          <cell r="F171">
            <v>1.04017929</v>
          </cell>
          <cell r="G171">
            <v>1.0438998799999999</v>
          </cell>
        </row>
        <row r="172">
          <cell r="B172" t="str">
            <v>DEC3O</v>
          </cell>
          <cell r="C172">
            <v>1.0148490699999999</v>
          </cell>
          <cell r="D172">
            <v>1.0156047800000001</v>
          </cell>
          <cell r="E172">
            <v>1.0163267499999999</v>
          </cell>
          <cell r="F172">
            <v>1.0164763699999999</v>
          </cell>
          <cell r="G172">
            <v>1.0203561999999999</v>
          </cell>
        </row>
        <row r="174">
          <cell r="B174" t="str">
            <v>Obligaciones Negociables Tasa Fija - Tamar</v>
          </cell>
        </row>
        <row r="176">
          <cell r="B176" t="str">
            <v>DHSNO</v>
          </cell>
          <cell r="C176">
            <v>1.0470983199999999</v>
          </cell>
          <cell r="D176">
            <v>1.04794593</v>
          </cell>
          <cell r="E176">
            <v>1.04860872</v>
          </cell>
          <cell r="F176">
            <v>1.04899516</v>
          </cell>
          <cell r="G176">
            <v>1.0531749399999999</v>
          </cell>
        </row>
        <row r="178">
          <cell r="B178" t="str">
            <v>Obligaciones Negociables UVA</v>
          </cell>
        </row>
        <row r="180">
          <cell r="B180" t="str">
            <v>NZC3O</v>
          </cell>
          <cell r="C180">
            <v>2126.46305231</v>
          </cell>
          <cell r="D180">
            <v>2128.99918183</v>
          </cell>
          <cell r="E180">
            <v>2131.8126235999998</v>
          </cell>
          <cell r="F180">
            <v>2132.87799739</v>
          </cell>
          <cell r="G180">
            <v>2133.09164044</v>
          </cell>
        </row>
        <row r="181">
          <cell r="B181" t="str">
            <v>COC5O</v>
          </cell>
          <cell r="C181">
            <v>2154.7996356600001</v>
          </cell>
          <cell r="D181">
            <v>2155.6484827700001</v>
          </cell>
          <cell r="E181">
            <v>2159.3362366800002</v>
          </cell>
          <cell r="F181">
            <v>2159.9232346600002</v>
          </cell>
          <cell r="G181">
            <v>2159.9439172399998</v>
          </cell>
        </row>
        <row r="182">
          <cell r="B182" t="str">
            <v>SNSDP</v>
          </cell>
          <cell r="C182">
            <v>730.44239306999998</v>
          </cell>
          <cell r="D182">
            <v>732.14212930999997</v>
          </cell>
          <cell r="E182">
            <v>732.58115440999995</v>
          </cell>
          <cell r="F182">
            <v>733.09214743999996</v>
          </cell>
          <cell r="G182">
            <v>733.67961968999998</v>
          </cell>
        </row>
        <row r="184">
          <cell r="B184" t="str">
            <v>Obligaciones Negociables Hard USD - LA</v>
          </cell>
        </row>
        <row r="186">
          <cell r="B186" t="str">
            <v>VE2LD</v>
          </cell>
          <cell r="C186">
            <v>0.99599216000000002</v>
          </cell>
          <cell r="D186">
            <v>0.99661312999999996</v>
          </cell>
          <cell r="E186">
            <v>0.99459571999999996</v>
          </cell>
          <cell r="F186">
            <v>0.99363069000000004</v>
          </cell>
          <cell r="G186">
            <v>0.99636296000000002</v>
          </cell>
        </row>
        <row r="187">
          <cell r="B187" t="str">
            <v>NA1LD</v>
          </cell>
          <cell r="C187">
            <v>0.97254032000000001</v>
          </cell>
          <cell r="D187">
            <v>0.97315472999999997</v>
          </cell>
          <cell r="E187">
            <v>0.970916</v>
          </cell>
          <cell r="F187">
            <v>0.96975469000000003</v>
          </cell>
          <cell r="G187">
            <v>0.97268063999999999</v>
          </cell>
        </row>
        <row r="188">
          <cell r="B188" t="str">
            <v>OR1LD</v>
          </cell>
          <cell r="C188">
            <v>0.98491786999999997</v>
          </cell>
          <cell r="D188">
            <v>0.98541674000000001</v>
          </cell>
          <cell r="E188">
            <v>0.98335154000000002</v>
          </cell>
          <cell r="F188">
            <v>0.98219478000000005</v>
          </cell>
          <cell r="G188">
            <v>0.98505803000000003</v>
          </cell>
        </row>
        <row r="189">
          <cell r="B189" t="str">
            <v>BYCWD</v>
          </cell>
          <cell r="C189">
            <v>1.0297530500000001</v>
          </cell>
          <cell r="D189">
            <v>1.0298449300000001</v>
          </cell>
          <cell r="E189">
            <v>1.034</v>
          </cell>
          <cell r="F189">
            <v>1.03005031</v>
          </cell>
          <cell r="G189">
            <v>1.03045443</v>
          </cell>
        </row>
        <row r="190">
          <cell r="B190" t="str">
            <v>BYCXD</v>
          </cell>
          <cell r="C190">
            <v>1.0230112600000001</v>
          </cell>
          <cell r="D190">
            <v>1.02313495</v>
          </cell>
          <cell r="E190">
            <v>1.02313086</v>
          </cell>
          <cell r="F190">
            <v>1.02328777</v>
          </cell>
          <cell r="G190">
            <v>1.0238768</v>
          </cell>
        </row>
        <row r="191">
          <cell r="B191" t="str">
            <v>YM41D</v>
          </cell>
          <cell r="C191">
            <v>1.0034311</v>
          </cell>
          <cell r="D191">
            <v>1.0036282299999999</v>
          </cell>
          <cell r="E191">
            <v>1.00365989</v>
          </cell>
          <cell r="F191">
            <v>1.00849096</v>
          </cell>
          <cell r="G191">
            <v>1.0091256900000001</v>
          </cell>
        </row>
        <row r="192">
          <cell r="B192" t="str">
            <v>YM37D</v>
          </cell>
          <cell r="C192">
            <v>1.02394612</v>
          </cell>
          <cell r="D192">
            <v>1.0184797000000001</v>
          </cell>
          <cell r="E192">
            <v>1.0235465100000001</v>
          </cell>
          <cell r="F192">
            <v>1.0208553600000001</v>
          </cell>
          <cell r="G192">
            <v>1.01950589</v>
          </cell>
        </row>
        <row r="193">
          <cell r="B193" t="str">
            <v>YFCMD</v>
          </cell>
          <cell r="C193">
            <v>1.02277759</v>
          </cell>
          <cell r="D193">
            <v>1.0231621399999999</v>
          </cell>
          <cell r="E193">
            <v>1.0224098800000001</v>
          </cell>
          <cell r="F193">
            <v>1.0223061600000001</v>
          </cell>
          <cell r="G193">
            <v>1.02387015</v>
          </cell>
        </row>
        <row r="194">
          <cell r="B194" t="str">
            <v>PFC2D</v>
          </cell>
          <cell r="C194">
            <v>1.04277818</v>
          </cell>
          <cell r="D194">
            <v>1.0432568600000001</v>
          </cell>
          <cell r="E194">
            <v>1.0420575700000001</v>
          </cell>
          <cell r="F194">
            <v>1.04172099</v>
          </cell>
          <cell r="G194">
            <v>1.0436076599999999</v>
          </cell>
        </row>
        <row r="195">
          <cell r="B195" t="str">
            <v>YM38D</v>
          </cell>
          <cell r="C195">
            <v>1.0439805099999999</v>
          </cell>
          <cell r="D195">
            <v>1.04442784</v>
          </cell>
          <cell r="E195">
            <v>1.02071768</v>
          </cell>
          <cell r="F195">
            <v>1.02250274</v>
          </cell>
          <cell r="G195">
            <v>1.02362201</v>
          </cell>
        </row>
        <row r="196">
          <cell r="B196" t="str">
            <v>BYZ1D</v>
          </cell>
          <cell r="C196">
            <v>1.0010363900000001</v>
          </cell>
          <cell r="D196">
            <v>1.00153783</v>
          </cell>
          <cell r="E196">
            <v>1.0002198099999999</v>
          </cell>
          <cell r="F196">
            <v>0.99980862999999998</v>
          </cell>
          <cell r="G196">
            <v>1.00176007</v>
          </cell>
        </row>
        <row r="197">
          <cell r="B197" t="str">
            <v>PN38D</v>
          </cell>
          <cell r="C197">
            <v>1.03129077</v>
          </cell>
          <cell r="D197">
            <v>1.0318191299999999</v>
          </cell>
          <cell r="E197">
            <v>1.0304092300000001</v>
          </cell>
          <cell r="F197">
            <v>1.02995515437396</v>
          </cell>
          <cell r="G197">
            <v>1.0320041499999999</v>
          </cell>
        </row>
        <row r="198">
          <cell r="B198" t="str">
            <v>BF40D</v>
          </cell>
          <cell r="C198">
            <v>1.01421728</v>
          </cell>
          <cell r="D198">
            <v>1.0147685099999999</v>
          </cell>
          <cell r="E198">
            <v>1.0132486999999999</v>
          </cell>
          <cell r="F198">
            <v>1.0127279</v>
          </cell>
          <cell r="G198">
            <v>1.01484956</v>
          </cell>
        </row>
        <row r="199">
          <cell r="B199" t="str">
            <v>PN34D</v>
          </cell>
          <cell r="C199">
            <v>1.0091994099999999</v>
          </cell>
          <cell r="D199">
            <v>1.00980103</v>
          </cell>
          <cell r="E199">
            <v>1.0080507000000001</v>
          </cell>
          <cell r="F199">
            <v>1.00739355</v>
          </cell>
          <cell r="G199">
            <v>1.0096877399999999</v>
          </cell>
        </row>
        <row r="200">
          <cell r="B200" t="str">
            <v>TTCBD</v>
          </cell>
          <cell r="C200">
            <v>1.02112534</v>
          </cell>
          <cell r="D200">
            <v>1.02176494</v>
          </cell>
          <cell r="E200">
            <v>1.01984476</v>
          </cell>
          <cell r="F200">
            <v>1.02100024</v>
          </cell>
          <cell r="G200">
            <v>1.0215213999999999</v>
          </cell>
        </row>
        <row r="201">
          <cell r="B201" t="str">
            <v>TTC8D</v>
          </cell>
          <cell r="C201">
            <v>1.03030591</v>
          </cell>
          <cell r="D201">
            <v>1.0309501700000001</v>
          </cell>
          <cell r="E201">
            <v>1.02900003</v>
          </cell>
          <cell r="F201">
            <v>1.0282203299999999</v>
          </cell>
          <cell r="G201">
            <v>1.00559836</v>
          </cell>
        </row>
        <row r="202">
          <cell r="B202" t="str">
            <v>PLC1D</v>
          </cell>
          <cell r="C202">
            <v>1.0444626699999999</v>
          </cell>
          <cell r="D202">
            <v>1.0452104099999999</v>
          </cell>
          <cell r="E202">
            <v>1.0426503899999999</v>
          </cell>
          <cell r="F202">
            <v>1.0414640900000001</v>
          </cell>
          <cell r="G202">
            <v>1.04436591</v>
          </cell>
        </row>
        <row r="203">
          <cell r="B203" t="str">
            <v>PLC3D</v>
          </cell>
          <cell r="C203">
            <v>1.04896955</v>
          </cell>
          <cell r="D203">
            <v>1.04974926</v>
          </cell>
          <cell r="E203">
            <v>1.04672505</v>
          </cell>
          <cell r="F203">
            <v>1.04516897</v>
          </cell>
          <cell r="G203">
            <v>1.04843829</v>
          </cell>
        </row>
        <row r="204">
          <cell r="B204" t="str">
            <v>BF44D</v>
          </cell>
          <cell r="C204">
            <v>1.0220011099999999</v>
          </cell>
          <cell r="D204">
            <v>1.0227596800000001</v>
          </cell>
          <cell r="E204">
            <v>1.01977213</v>
          </cell>
          <cell r="F204">
            <v>1.0182161000000001</v>
          </cell>
          <cell r="G204">
            <v>1.0214259699999999</v>
          </cell>
        </row>
        <row r="205">
          <cell r="B205" t="str">
            <v>YM40D</v>
          </cell>
          <cell r="C205">
            <v>1.0508695800000001</v>
          </cell>
          <cell r="D205">
            <v>1.05154569</v>
          </cell>
          <cell r="E205">
            <v>1.0483145899999999</v>
          </cell>
          <cell r="F205">
            <v>1.0464398699999999</v>
          </cell>
          <cell r="G205">
            <v>1.0499192399999999</v>
          </cell>
        </row>
        <row r="206">
          <cell r="B206" t="str">
            <v>YMCZD</v>
          </cell>
          <cell r="C206">
            <v>1.06731401</v>
          </cell>
          <cell r="D206">
            <v>1.0678835600000001</v>
          </cell>
          <cell r="E206">
            <v>1.06449729</v>
          </cell>
          <cell r="F206">
            <v>1.0624148899999999</v>
          </cell>
          <cell r="G206">
            <v>1.06589165</v>
          </cell>
        </row>
        <row r="207">
          <cell r="B207" t="str">
            <v>YMCYD</v>
          </cell>
          <cell r="C207">
            <v>1.01809148</v>
          </cell>
          <cell r="D207">
            <v>1.0186890500000001</v>
          </cell>
          <cell r="E207">
            <v>1.0200000499999999</v>
          </cell>
          <cell r="F207">
            <v>1.01798707</v>
          </cell>
          <cell r="G207">
            <v>1.0259721900000001</v>
          </cell>
        </row>
        <row r="208">
          <cell r="B208" t="str">
            <v>GN47D</v>
          </cell>
          <cell r="C208">
            <v>1.0114439099999999</v>
          </cell>
          <cell r="D208">
            <v>1.0120206199999999</v>
          </cell>
          <cell r="E208">
            <v>1.00885077</v>
          </cell>
          <cell r="F208">
            <v>1.0069011000000001</v>
          </cell>
          <cell r="G208">
            <v>1.01036528</v>
          </cell>
        </row>
        <row r="209">
          <cell r="B209" t="str">
            <v>YFCLD</v>
          </cell>
          <cell r="C209">
            <v>1.0435559999999999</v>
          </cell>
          <cell r="D209">
            <v>1.0440526299999999</v>
          </cell>
          <cell r="E209">
            <v>1.04091304</v>
          </cell>
          <cell r="F209">
            <v>1.03890159</v>
          </cell>
          <cell r="G209">
            <v>1.04237449</v>
          </cell>
        </row>
        <row r="210">
          <cell r="B210" t="str">
            <v>YFCOD</v>
          </cell>
          <cell r="C210">
            <v>1.032491</v>
          </cell>
          <cell r="D210">
            <v>1.0328472099999999</v>
          </cell>
          <cell r="E210">
            <v>1.02980095</v>
          </cell>
          <cell r="F210">
            <v>1.0277951700000001</v>
          </cell>
          <cell r="G210">
            <v>1.0312616800000001</v>
          </cell>
        </row>
        <row r="211">
          <cell r="B211" t="str">
            <v>PLC6D</v>
          </cell>
          <cell r="C211">
            <v>1.06048422</v>
          </cell>
          <cell r="D211">
            <v>1.0539998900000001</v>
          </cell>
          <cell r="E211">
            <v>1.0579604300000001</v>
          </cell>
          <cell r="F211">
            <v>1.0559414</v>
          </cell>
          <cell r="G211">
            <v>1.05934291</v>
          </cell>
        </row>
        <row r="212">
          <cell r="B212" t="str">
            <v>YM42D</v>
          </cell>
          <cell r="C212">
            <v>1.0501113399999999</v>
          </cell>
          <cell r="D212">
            <v>1.0474964200000001</v>
          </cell>
          <cell r="E212">
            <v>1.0475329200000001</v>
          </cell>
          <cell r="F212">
            <v>1.05291896</v>
          </cell>
          <cell r="G212">
            <v>1.05210578</v>
          </cell>
        </row>
        <row r="213">
          <cell r="B213" t="str">
            <v>TLCUD</v>
          </cell>
          <cell r="C213">
            <v>1.0264854400000001</v>
          </cell>
          <cell r="D213">
            <v>1.0266827300000001</v>
          </cell>
          <cell r="E213">
            <v>1.02396932</v>
          </cell>
          <cell r="F213">
            <v>1.02194987</v>
          </cell>
          <cell r="G213">
            <v>1.02533097</v>
          </cell>
        </row>
        <row r="214">
          <cell r="B214" t="str">
            <v>OLC6D</v>
          </cell>
          <cell r="C214">
            <v>1.0694583900000001</v>
          </cell>
          <cell r="D214">
            <v>1.0693014599999999</v>
          </cell>
          <cell r="E214">
            <v>1.0671648499999999</v>
          </cell>
          <cell r="F214">
            <v>1.0652202799999999</v>
          </cell>
          <cell r="G214">
            <v>1.0719983099999999</v>
          </cell>
        </row>
        <row r="215">
          <cell r="B215" t="str">
            <v>T672D</v>
          </cell>
          <cell r="C215">
            <v>1.0076934799999999</v>
          </cell>
          <cell r="D215">
            <v>1.0083714699999999</v>
          </cell>
          <cell r="E215">
            <v>1.0085868899999999</v>
          </cell>
          <cell r="F215">
            <v>1.0083041699999999</v>
          </cell>
          <cell r="G215">
            <v>1.01125037</v>
          </cell>
        </row>
        <row r="216">
          <cell r="B216" t="str">
            <v>CS48D</v>
          </cell>
          <cell r="C216">
            <v>1.0679410499999999</v>
          </cell>
          <cell r="D216">
            <v>1.06868612</v>
          </cell>
          <cell r="E216">
            <v>1.06545702</v>
          </cell>
          <cell r="F216">
            <v>1.06367375</v>
          </cell>
          <cell r="G216">
            <v>1.06713773</v>
          </cell>
        </row>
        <row r="217">
          <cell r="B217" t="str">
            <v>CS47D</v>
          </cell>
          <cell r="C217">
            <v>1.0600206999999999</v>
          </cell>
          <cell r="D217">
            <v>1.0605466400000001</v>
          </cell>
          <cell r="E217">
            <v>1.04999485</v>
          </cell>
          <cell r="F217">
            <v>1.0553889000000001</v>
          </cell>
          <cell r="G217">
            <v>1.05890946</v>
          </cell>
        </row>
        <row r="218">
          <cell r="B218" t="str">
            <v>ZZC1D</v>
          </cell>
          <cell r="C218">
            <v>1.0223595700000001</v>
          </cell>
          <cell r="D218">
            <v>1.02305286</v>
          </cell>
          <cell r="E218">
            <v>1.0232713099999999</v>
          </cell>
          <cell r="F218">
            <v>1.02298007</v>
          </cell>
          <cell r="G218">
            <v>1.02599448</v>
          </cell>
        </row>
        <row r="219">
          <cell r="B219" t="str">
            <v>BVCUD</v>
          </cell>
          <cell r="C219">
            <v>0.99677959999999999</v>
          </cell>
          <cell r="D219">
            <v>0.99786176999999998</v>
          </cell>
          <cell r="E219">
            <v>0.99789826000000004</v>
          </cell>
          <cell r="F219">
            <v>0.99722202999999998</v>
          </cell>
          <cell r="G219">
            <v>1.00183764</v>
          </cell>
        </row>
        <row r="220">
          <cell r="B220" t="str">
            <v>JNC6D</v>
          </cell>
          <cell r="C220">
            <v>1.0167450099999999</v>
          </cell>
          <cell r="D220">
            <v>1.01863572</v>
          </cell>
          <cell r="E220">
            <v>1.0180300600000001</v>
          </cell>
          <cell r="F220">
            <v>1.01620975</v>
          </cell>
          <cell r="G220">
            <v>1.0242001000000001</v>
          </cell>
        </row>
        <row r="221">
          <cell r="B221" t="str">
            <v>HVS1D</v>
          </cell>
          <cell r="C221">
            <v>1.00859896</v>
          </cell>
          <cell r="D221">
            <v>1.0114374399999999</v>
          </cell>
          <cell r="E221">
            <v>1.0103567</v>
          </cell>
          <cell r="F221">
            <v>1.00665508</v>
          </cell>
          <cell r="G221">
            <v>1.0195255999999999</v>
          </cell>
        </row>
        <row r="222">
          <cell r="B222" t="str">
            <v>TGCHD</v>
          </cell>
          <cell r="C222">
            <v>9.9999999999999995E-8</v>
          </cell>
          <cell r="D222">
            <v>9.9999999999999995E-8</v>
          </cell>
          <cell r="E222">
            <v>9.9999999999999995E-8</v>
          </cell>
          <cell r="F222">
            <v>9.9999999999999995E-8</v>
          </cell>
          <cell r="G222">
            <v>9.9999999999999995E-8</v>
          </cell>
        </row>
        <row r="224">
          <cell r="B224" t="str">
            <v>Obligaciones Negociables Hard USD - LA - Contra $</v>
          </cell>
        </row>
        <row r="226">
          <cell r="B226" t="str">
            <v>VES2L</v>
          </cell>
          <cell r="C226">
            <v>1574.8629405199999</v>
          </cell>
          <cell r="D226">
            <v>1569.33062559</v>
          </cell>
          <cell r="E226">
            <v>1575.80929756</v>
          </cell>
          <cell r="F226">
            <v>1600.3381182799999</v>
          </cell>
          <cell r="G226">
            <v>1586.20919316</v>
          </cell>
        </row>
        <row r="227">
          <cell r="B227" t="str">
            <v>NAS1L</v>
          </cell>
          <cell r="C227">
            <v>1545.6035540099999</v>
          </cell>
          <cell r="D227">
            <v>1537.4229000800001</v>
          </cell>
          <cell r="E227">
            <v>1543.19189151</v>
          </cell>
          <cell r="F227">
            <v>1567.89627834</v>
          </cell>
          <cell r="G227">
            <v>1556.4394914500001</v>
          </cell>
        </row>
        <row r="228">
          <cell r="B228" t="str">
            <v>ORS1L</v>
          </cell>
          <cell r="C228">
            <v>1568.1049487800001</v>
          </cell>
          <cell r="D228">
            <v>1559.3072738000001</v>
          </cell>
          <cell r="E228">
            <v>1564.5936110499999</v>
          </cell>
          <cell r="F228">
            <v>1587.5425955000001</v>
          </cell>
          <cell r="G228">
            <v>1579.9252515799999</v>
          </cell>
        </row>
        <row r="229">
          <cell r="B229" t="str">
            <v>BYCWO</v>
          </cell>
          <cell r="C229">
            <v>1589.22083576</v>
          </cell>
          <cell r="D229">
            <v>1592</v>
          </cell>
          <cell r="E229">
            <v>1597</v>
          </cell>
          <cell r="F229">
            <v>1600.99848597</v>
          </cell>
          <cell r="G229">
            <v>1603</v>
          </cell>
        </row>
        <row r="230">
          <cell r="B230" t="str">
            <v>BYCXO</v>
          </cell>
          <cell r="C230">
            <v>1573.7681581500001</v>
          </cell>
          <cell r="D230">
            <v>1583.0591681000001</v>
          </cell>
          <cell r="E230">
            <v>1586.6583776099999</v>
          </cell>
          <cell r="F230">
            <v>1594.4957096000001</v>
          </cell>
          <cell r="G230">
            <v>1592.01</v>
          </cell>
        </row>
        <row r="231">
          <cell r="B231" t="str">
            <v>YM41O</v>
          </cell>
          <cell r="C231">
            <v>1542.2097403</v>
          </cell>
          <cell r="D231">
            <v>1549.28736768</v>
          </cell>
          <cell r="E231">
            <v>1555.4750862999999</v>
          </cell>
          <cell r="F231">
            <v>1570.9</v>
          </cell>
          <cell r="G231">
            <v>1565.09330295</v>
          </cell>
        </row>
        <row r="232">
          <cell r="B232" t="str">
            <v>YM37O</v>
          </cell>
          <cell r="C232">
            <v>1578.37015967</v>
          </cell>
          <cell r="D232">
            <v>1575.9184757</v>
          </cell>
          <cell r="E232">
            <v>1584.01079364</v>
          </cell>
          <cell r="F232">
            <v>1612.89836289</v>
          </cell>
          <cell r="G232">
            <v>1587.65253168</v>
          </cell>
        </row>
        <row r="233">
          <cell r="B233" t="str">
            <v>YFCMO</v>
          </cell>
          <cell r="C233">
            <v>1577.85656604</v>
          </cell>
          <cell r="D233">
            <v>1583.0537868399999</v>
          </cell>
          <cell r="E233">
            <v>1591.90251994</v>
          </cell>
          <cell r="F233">
            <v>1612.8589247800001</v>
          </cell>
          <cell r="G233">
            <v>1590.40375034</v>
          </cell>
        </row>
        <row r="234">
          <cell r="B234" t="str">
            <v>PFC2O</v>
          </cell>
          <cell r="C234">
            <v>1603.5864684999999</v>
          </cell>
          <cell r="D234">
            <v>1606.8799900199999</v>
          </cell>
          <cell r="E234">
            <v>1616.0624245700001</v>
          </cell>
          <cell r="F234">
            <v>1640.29582611</v>
          </cell>
          <cell r="G234">
            <v>1614.9990046099999</v>
          </cell>
        </row>
        <row r="235">
          <cell r="B235" t="str">
            <v>YM38O</v>
          </cell>
          <cell r="C235">
            <v>1614.3513699299999</v>
          </cell>
          <cell r="D235">
            <v>1617.3310423400001</v>
          </cell>
          <cell r="E235">
            <v>1582.2768475600001</v>
          </cell>
          <cell r="F235">
            <v>1606.41320937</v>
          </cell>
          <cell r="G235">
            <v>1581.30156199</v>
          </cell>
        </row>
        <row r="236">
          <cell r="B236" t="str">
            <v>BYZ1O</v>
          </cell>
          <cell r="C236">
            <v>1539.6795708899999</v>
          </cell>
          <cell r="D236">
            <v>1541.98831883</v>
          </cell>
          <cell r="E236">
            <v>1550.83332825</v>
          </cell>
          <cell r="F236">
            <v>1575.18112795</v>
          </cell>
          <cell r="G236">
            <v>1550.16382529</v>
          </cell>
        </row>
        <row r="237">
          <cell r="B237" t="str">
            <v>PN38O</v>
          </cell>
          <cell r="C237">
            <v>1586.35763221</v>
          </cell>
          <cell r="D237">
            <v>1588.42012617</v>
          </cell>
          <cell r="E237">
            <v>1597.4814378799999</v>
          </cell>
          <cell r="F237">
            <v>1622.7675483999999</v>
          </cell>
          <cell r="G237">
            <v>1597.0864245</v>
          </cell>
        </row>
        <row r="238">
          <cell r="B238" t="str">
            <v>BF40O</v>
          </cell>
          <cell r="C238">
            <v>1560.3906701799999</v>
          </cell>
          <cell r="D238">
            <v>1561.6727933</v>
          </cell>
          <cell r="E238">
            <v>1570.53691675</v>
          </cell>
          <cell r="F238">
            <v>1596.1123012400001</v>
          </cell>
          <cell r="G238">
            <v>1570.6511597599999</v>
          </cell>
        </row>
        <row r="239">
          <cell r="B239" t="str">
            <v>TTCBO</v>
          </cell>
          <cell r="C239">
            <v>1572.1317157999999</v>
          </cell>
          <cell r="D239">
            <v>1570.99530039</v>
          </cell>
          <cell r="E239">
            <v>1579.5454926699999</v>
          </cell>
          <cell r="F239">
            <v>1630</v>
          </cell>
          <cell r="G239">
            <v>1581.8861610900001</v>
          </cell>
        </row>
        <row r="240">
          <cell r="B240" t="str">
            <v>TTC8O</v>
          </cell>
          <cell r="C240">
            <v>1586.47960599</v>
          </cell>
          <cell r="D240">
            <v>1585.0989145999999</v>
          </cell>
          <cell r="E240">
            <v>1593.51709751</v>
          </cell>
          <cell r="F240">
            <v>1620.67312524</v>
          </cell>
          <cell r="G240">
            <v>1557.3891991099999</v>
          </cell>
        </row>
        <row r="241">
          <cell r="B241" t="str">
            <v>PLC1O</v>
          </cell>
          <cell r="C241">
            <v>1610.7136072599999</v>
          </cell>
          <cell r="D241">
            <v>1604.84797157</v>
          </cell>
          <cell r="E241">
            <v>1615.8903709199999</v>
          </cell>
          <cell r="F241">
            <v>1640.72168676</v>
          </cell>
          <cell r="G241">
            <v>1620.73115269</v>
          </cell>
        </row>
        <row r="242">
          <cell r="B242" t="str">
            <v>BF44O</v>
          </cell>
          <cell r="C242">
            <v>1579.0201237700001</v>
          </cell>
          <cell r="D242">
            <v>1568.4352509600001</v>
          </cell>
          <cell r="E242">
            <v>1574.06476301</v>
          </cell>
          <cell r="F242">
            <v>1601.7588445199999</v>
          </cell>
          <cell r="G242">
            <v>1589.1291294600001</v>
          </cell>
        </row>
        <row r="243">
          <cell r="B243" t="str">
            <v>YM40O</v>
          </cell>
          <cell r="C243">
            <v>1627.35966218</v>
          </cell>
          <cell r="D243">
            <v>1612.4304710900001</v>
          </cell>
          <cell r="E243">
            <v>1616.5752691099999</v>
          </cell>
          <cell r="F243">
            <v>1642.9768603099999</v>
          </cell>
          <cell r="G243">
            <v>1638.7112087600001</v>
          </cell>
        </row>
        <row r="244">
          <cell r="B244" t="str">
            <v>YMCZO</v>
          </cell>
          <cell r="C244">
            <v>1599.9198070800001</v>
          </cell>
          <cell r="D244">
            <v>1583.4004936599999</v>
          </cell>
          <cell r="E244">
            <v>1650.4</v>
          </cell>
          <cell r="F244">
            <v>1676.2231282400001</v>
          </cell>
          <cell r="G244">
            <v>1675.4229161400001</v>
          </cell>
        </row>
        <row r="245">
          <cell r="B245" t="str">
            <v>YMCYO</v>
          </cell>
          <cell r="C245">
            <v>1578.2348240199999</v>
          </cell>
          <cell r="D245">
            <v>1562.0629495799999</v>
          </cell>
          <cell r="E245">
            <v>1570.3352095400001</v>
          </cell>
          <cell r="F245">
            <v>1594.85871744</v>
          </cell>
          <cell r="G245">
            <v>1594.4525473000001</v>
          </cell>
        </row>
        <row r="246">
          <cell r="B246" t="str">
            <v>GN47O</v>
          </cell>
          <cell r="C246">
            <v>1567.1127671500001</v>
          </cell>
          <cell r="D246">
            <v>1550.50853712</v>
          </cell>
          <cell r="E246">
            <v>1553.68890566</v>
          </cell>
          <cell r="F246">
            <v>1578.0931968</v>
          </cell>
          <cell r="G246">
            <v>1578.4468477200001</v>
          </cell>
        </row>
        <row r="247">
          <cell r="B247" t="str">
            <v>YFCLO</v>
          </cell>
          <cell r="C247">
            <v>1608.07188754</v>
          </cell>
          <cell r="D247">
            <v>1590.68009418</v>
          </cell>
          <cell r="E247">
            <v>1593.5311444500001</v>
          </cell>
          <cell r="F247">
            <v>1617.0700068199999</v>
          </cell>
          <cell r="G247">
            <v>1620.2851060800001</v>
          </cell>
        </row>
        <row r="248">
          <cell r="B248" t="str">
            <v>YFCOO</v>
          </cell>
          <cell r="C248">
            <v>1601.76627558</v>
          </cell>
          <cell r="D248">
            <v>1583.8193451</v>
          </cell>
          <cell r="E248">
            <v>1586.3699328499999</v>
          </cell>
          <cell r="F248">
            <v>1609.1018379300001</v>
          </cell>
          <cell r="G248">
            <v>1614.1812583200001</v>
          </cell>
        </row>
        <row r="249">
          <cell r="B249" t="str">
            <v>PLC6O</v>
          </cell>
          <cell r="C249">
            <v>1645.5207027599999</v>
          </cell>
          <cell r="D249">
            <v>1628.0001203899999</v>
          </cell>
          <cell r="E249">
            <v>1628.1442969899999</v>
          </cell>
          <cell r="F249">
            <v>1648.1484660199999</v>
          </cell>
          <cell r="G249">
            <v>1659.51555207</v>
          </cell>
        </row>
        <row r="250">
          <cell r="B250" t="str">
            <v>YM42O</v>
          </cell>
          <cell r="C250">
            <v>1627.5636362</v>
          </cell>
          <cell r="D250">
            <v>1617.1046836800001</v>
          </cell>
          <cell r="E250">
            <v>1618.7417307200001</v>
          </cell>
          <cell r="F250">
            <v>1628.6043426700001</v>
          </cell>
          <cell r="G250">
            <v>1649.9892105500001</v>
          </cell>
        </row>
        <row r="251">
          <cell r="B251" t="str">
            <v>TLCUO</v>
          </cell>
          <cell r="C251">
            <v>1593.27791045</v>
          </cell>
          <cell r="D251">
            <v>1573.80941846</v>
          </cell>
          <cell r="E251">
            <v>1575.4450668100001</v>
          </cell>
          <cell r="F251">
            <v>1595.0620759999999</v>
          </cell>
          <cell r="G251">
            <v>1606.64496454</v>
          </cell>
        </row>
        <row r="252">
          <cell r="B252" t="str">
            <v>OLC6O</v>
          </cell>
          <cell r="C252">
            <v>1661.0454462499999</v>
          </cell>
          <cell r="D252">
            <v>1640.8266271499999</v>
          </cell>
          <cell r="E252">
            <v>1641.9359480200001</v>
          </cell>
          <cell r="F252">
            <v>1658.0460447600001</v>
          </cell>
          <cell r="G252">
            <v>1676.3872774500001</v>
          </cell>
        </row>
        <row r="253">
          <cell r="B253" t="str">
            <v>T672O</v>
          </cell>
          <cell r="C253">
            <v>1547.3314157899999</v>
          </cell>
          <cell r="D253">
            <v>1554.3264356100001</v>
          </cell>
          <cell r="E253">
            <v>1561.8125656100001</v>
          </cell>
          <cell r="F253">
            <v>1574.9617014200001</v>
          </cell>
          <cell r="G253">
            <v>1564.47272374</v>
          </cell>
        </row>
        <row r="254">
          <cell r="B254" t="str">
            <v>CS48O</v>
          </cell>
          <cell r="C254">
            <v>1651.5934307800001</v>
          </cell>
          <cell r="D254">
            <v>1638.2769158999999</v>
          </cell>
          <cell r="E254">
            <v>1643.25885505</v>
          </cell>
          <cell r="F254">
            <v>1671.15247129</v>
          </cell>
          <cell r="G254">
            <v>1662.9428</v>
          </cell>
        </row>
        <row r="255">
          <cell r="B255" t="str">
            <v>CS47O</v>
          </cell>
          <cell r="C255">
            <v>1642.6808191800001</v>
          </cell>
          <cell r="D255">
            <v>1625.35550577</v>
          </cell>
          <cell r="E255">
            <v>1628.3580299600001</v>
          </cell>
          <cell r="F255">
            <v>1652.3814551800001</v>
          </cell>
          <cell r="G255">
            <v>1655.21455664</v>
          </cell>
        </row>
        <row r="256">
          <cell r="B256" t="str">
            <v>ZZC1O</v>
          </cell>
          <cell r="C256">
            <v>1569.8069778900001</v>
          </cell>
          <cell r="D256">
            <v>1576.91171401</v>
          </cell>
          <cell r="E256">
            <v>1584.5473650199999</v>
          </cell>
          <cell r="F256">
            <v>1597.9910010000001</v>
          </cell>
          <cell r="G256">
            <v>1587.14748745</v>
          </cell>
        </row>
        <row r="257">
          <cell r="B257" t="str">
            <v>BVCUO</v>
          </cell>
          <cell r="C257">
            <v>1530.7596029599999</v>
          </cell>
          <cell r="D257">
            <v>1536.3312721699999</v>
          </cell>
          <cell r="E257">
            <v>1544.9531933999999</v>
          </cell>
          <cell r="F257">
            <v>1562.54858425</v>
          </cell>
          <cell r="G257">
            <v>1546.1766733500001</v>
          </cell>
        </row>
        <row r="258">
          <cell r="B258" t="str">
            <v>JNC6O</v>
          </cell>
          <cell r="C258">
            <v>1562.41397029</v>
          </cell>
          <cell r="D258">
            <v>1562.18785955</v>
          </cell>
          <cell r="E258">
            <v>1570.9514289399999</v>
          </cell>
          <cell r="F258">
            <v>1594.00282386</v>
          </cell>
          <cell r="G258">
            <v>1576.8708128799999</v>
          </cell>
        </row>
        <row r="259">
          <cell r="B259" t="str">
            <v>HVS1O</v>
          </cell>
          <cell r="C259">
            <v>1555.23696806</v>
          </cell>
          <cell r="D259">
            <v>1542.91342061</v>
          </cell>
          <cell r="E259">
            <v>1547.8100958299999</v>
          </cell>
          <cell r="F259">
            <v>1567.94321593</v>
          </cell>
          <cell r="G259">
            <v>1572.89047682</v>
          </cell>
        </row>
        <row r="260">
          <cell r="B260" t="str">
            <v>TGCHO</v>
          </cell>
          <cell r="C260">
            <v>9.9999999999999995E-8</v>
          </cell>
          <cell r="D260">
            <v>9.9999999999999995E-8</v>
          </cell>
          <cell r="E260">
            <v>9.9999999999999995E-8</v>
          </cell>
          <cell r="F260">
            <v>9.9999999999999995E-8</v>
          </cell>
          <cell r="G260">
            <v>9.9999999999999995E-8</v>
          </cell>
        </row>
        <row r="262">
          <cell r="B262" t="str">
            <v>Obligaciones Negociables Hard USD - LE</v>
          </cell>
        </row>
        <row r="264">
          <cell r="B264" t="str">
            <v>PNDCD</v>
          </cell>
          <cell r="C264">
            <v>0.4316412</v>
          </cell>
          <cell r="D264">
            <v>0.43166063999999998</v>
          </cell>
          <cell r="E264">
            <v>0.43212627999999997</v>
          </cell>
          <cell r="F264">
            <v>0.43220201000000003</v>
          </cell>
          <cell r="G264">
            <v>0.43251563999999998</v>
          </cell>
        </row>
        <row r="265">
          <cell r="B265" t="str">
            <v>YCAMD</v>
          </cell>
          <cell r="C265">
            <v>1.0859948100000001</v>
          </cell>
          <cell r="D265">
            <v>1.0864056200000001</v>
          </cell>
          <cell r="E265">
            <v>1.08957689</v>
          </cell>
          <cell r="F265">
            <v>1.0904495299999999</v>
          </cell>
          <cell r="G265">
            <v>1.0934445100000001</v>
          </cell>
        </row>
        <row r="266">
          <cell r="B266" t="str">
            <v>AER4D</v>
          </cell>
          <cell r="C266">
            <v>0.77646219999999999</v>
          </cell>
          <cell r="D266">
            <v>0.77676003999999998</v>
          </cell>
          <cell r="E266">
            <v>0.7794972</v>
          </cell>
          <cell r="F266">
            <v>0.78046115999999999</v>
          </cell>
          <cell r="G266">
            <v>0.78275156999999995</v>
          </cell>
        </row>
        <row r="267">
          <cell r="B267" t="str">
            <v>YMCID</v>
          </cell>
          <cell r="C267">
            <v>0.9611904</v>
          </cell>
          <cell r="D267">
            <v>0.96152912999999995</v>
          </cell>
          <cell r="E267">
            <v>0.95791512999999995</v>
          </cell>
          <cell r="F267">
            <v>0.96419277999999997</v>
          </cell>
          <cell r="G267">
            <v>0.96855888999999995</v>
          </cell>
        </row>
        <row r="268">
          <cell r="B268" t="str">
            <v>BYCHD</v>
          </cell>
          <cell r="C268">
            <v>1.09494593</v>
          </cell>
          <cell r="D268">
            <v>1.0954686199999999</v>
          </cell>
          <cell r="E268">
            <v>1.10028836</v>
          </cell>
          <cell r="F268">
            <v>1.10213268</v>
          </cell>
          <cell r="G268">
            <v>1.1060960099999999</v>
          </cell>
        </row>
        <row r="269">
          <cell r="B269" t="str">
            <v>YMCUD</v>
          </cell>
          <cell r="C269">
            <v>1.0209309</v>
          </cell>
          <cell r="D269">
            <v>1.0212072999999999</v>
          </cell>
          <cell r="E269">
            <v>1.02475443</v>
          </cell>
          <cell r="F269">
            <v>1.02622093</v>
          </cell>
          <cell r="G269">
            <v>1.0286315800000001</v>
          </cell>
        </row>
        <row r="270">
          <cell r="B270" t="str">
            <v>YMC1D</v>
          </cell>
          <cell r="C270">
            <v>1.1286233699999999</v>
          </cell>
          <cell r="D270">
            <v>1.1289986400000001</v>
          </cell>
          <cell r="E270">
            <v>1.13370839</v>
          </cell>
          <cell r="F270">
            <v>1.1357668999999999</v>
          </cell>
          <cell r="G270">
            <v>1.13898392</v>
          </cell>
        </row>
        <row r="271">
          <cell r="B271" t="str">
            <v>ARC1D</v>
          </cell>
          <cell r="C271">
            <v>1.0833087699999999</v>
          </cell>
          <cell r="D271">
            <v>1.0835328799999999</v>
          </cell>
          <cell r="E271">
            <v>1.0719955800000001</v>
          </cell>
          <cell r="F271">
            <v>1.077</v>
          </cell>
          <cell r="G271">
            <v>1.09123467</v>
          </cell>
        </row>
        <row r="272">
          <cell r="B272" t="str">
            <v>TTCDD</v>
          </cell>
          <cell r="C272">
            <v>1.08810611740631</v>
          </cell>
          <cell r="D272">
            <v>1.0881002099999999</v>
          </cell>
          <cell r="E272">
            <v>1.09161639</v>
          </cell>
          <cell r="F272">
            <v>1.0952494399999999</v>
          </cell>
          <cell r="G272">
            <v>1.0944605199999999</v>
          </cell>
        </row>
        <row r="273">
          <cell r="B273" t="str">
            <v>YMCXD</v>
          </cell>
          <cell r="C273">
            <v>1.1024478143607399</v>
          </cell>
          <cell r="D273">
            <v>1.0935763700000001</v>
          </cell>
          <cell r="E273">
            <v>1.0941359399999999</v>
          </cell>
          <cell r="F273">
            <v>1.0965075200000001</v>
          </cell>
          <cell r="G273">
            <v>1.0960923899999999</v>
          </cell>
        </row>
        <row r="274">
          <cell r="B274" t="str">
            <v>PNXCD</v>
          </cell>
          <cell r="C274">
            <v>1.1216116899999999</v>
          </cell>
          <cell r="D274">
            <v>1.12149835</v>
          </cell>
          <cell r="E274">
            <v>1.12468835814082</v>
          </cell>
          <cell r="F274">
            <v>1.1266239199999999</v>
          </cell>
          <cell r="G274">
            <v>1.12694229393722</v>
          </cell>
        </row>
        <row r="275">
          <cell r="B275" t="str">
            <v>PLC5D</v>
          </cell>
          <cell r="C275">
            <v>1.0940000000000001</v>
          </cell>
          <cell r="D275">
            <v>1.09876811</v>
          </cell>
          <cell r="E275">
            <v>1.101863</v>
          </cell>
          <cell r="F275">
            <v>1.10379487</v>
          </cell>
          <cell r="G275">
            <v>1.0939952799999999</v>
          </cell>
        </row>
        <row r="276">
          <cell r="B276" t="str">
            <v>TSC3D</v>
          </cell>
          <cell r="C276">
            <v>1.09873727</v>
          </cell>
          <cell r="D276">
            <v>1.0985631</v>
          </cell>
          <cell r="E276">
            <v>1.10156057</v>
          </cell>
          <cell r="F276">
            <v>1.1034900097176099</v>
          </cell>
          <cell r="G276">
            <v>1.1120474</v>
          </cell>
        </row>
        <row r="277">
          <cell r="B277" t="str">
            <v>YFCJD</v>
          </cell>
          <cell r="C277">
            <v>1.0511492644901499</v>
          </cell>
          <cell r="D277">
            <v>1.05092355</v>
          </cell>
          <cell r="E277">
            <v>1.0412870700000001</v>
          </cell>
          <cell r="F277">
            <v>1.05542596</v>
          </cell>
          <cell r="G277">
            <v>1.05500606</v>
          </cell>
        </row>
        <row r="278">
          <cell r="B278" t="str">
            <v>MGCMD</v>
          </cell>
          <cell r="C278">
            <v>1.0622910299999999</v>
          </cell>
          <cell r="D278">
            <v>1.06208088132838</v>
          </cell>
          <cell r="E278">
            <v>1.06486864</v>
          </cell>
          <cell r="F278">
            <v>1.0667346499999999</v>
          </cell>
          <cell r="G278">
            <v>1.06643657</v>
          </cell>
        </row>
        <row r="279">
          <cell r="B279" t="str">
            <v>TTCAD</v>
          </cell>
          <cell r="C279">
            <v>1.05513911</v>
          </cell>
          <cell r="D279">
            <v>1.05484888</v>
          </cell>
          <cell r="E279">
            <v>1.06</v>
          </cell>
          <cell r="F279">
            <v>1.0645</v>
          </cell>
          <cell r="G279">
            <v>1.05818462</v>
          </cell>
        </row>
        <row r="280">
          <cell r="B280" t="str">
            <v>PLC4D</v>
          </cell>
          <cell r="C280">
            <v>1.1045507800000001</v>
          </cell>
          <cell r="D280">
            <v>1.1026623900000001</v>
          </cell>
          <cell r="E280">
            <v>1.1075363300000001</v>
          </cell>
          <cell r="F280">
            <v>1.1045</v>
          </cell>
          <cell r="G280">
            <v>1.1054654500000001</v>
          </cell>
        </row>
        <row r="281">
          <cell r="B281" t="str">
            <v>VSCVD</v>
          </cell>
          <cell r="C281">
            <v>1.1130073300000001</v>
          </cell>
          <cell r="D281">
            <v>1.1143361199999999</v>
          </cell>
          <cell r="E281">
            <v>1.1150267599999999</v>
          </cell>
          <cell r="F281">
            <v>1.11703291</v>
          </cell>
          <cell r="G281">
            <v>1.1130174500000001</v>
          </cell>
        </row>
        <row r="282">
          <cell r="B282" t="str">
            <v>YM34D</v>
          </cell>
          <cell r="C282">
            <v>1.0870091500000001</v>
          </cell>
          <cell r="D282">
            <v>1.08398755</v>
          </cell>
          <cell r="E282">
            <v>1.08811101</v>
          </cell>
          <cell r="F282">
            <v>1.0928186799999999</v>
          </cell>
          <cell r="G282">
            <v>1.09008047</v>
          </cell>
        </row>
        <row r="283">
          <cell r="B283" t="str">
            <v>YMCJD</v>
          </cell>
          <cell r="C283">
            <v>1.03184912</v>
          </cell>
          <cell r="D283">
            <v>1.0235983799999999</v>
          </cell>
          <cell r="E283">
            <v>1.0203624</v>
          </cell>
          <cell r="F283">
            <v>1.0228180200000001</v>
          </cell>
          <cell r="G283">
            <v>1.02181667</v>
          </cell>
        </row>
        <row r="284">
          <cell r="B284" t="str">
            <v>CAC5D</v>
          </cell>
          <cell r="C284">
            <v>0.55075048999999998</v>
          </cell>
          <cell r="D284">
            <v>0.55104337000000003</v>
          </cell>
          <cell r="E284">
            <v>0.55284555999999996</v>
          </cell>
          <cell r="F284">
            <v>0.55334874999999994</v>
          </cell>
          <cell r="G284">
            <v>0.55500749000000005</v>
          </cell>
        </row>
        <row r="285">
          <cell r="B285" t="str">
            <v>TLCMD</v>
          </cell>
          <cell r="C285">
            <v>1.12049486</v>
          </cell>
          <cell r="D285">
            <v>1.1247802600000001</v>
          </cell>
          <cell r="E285">
            <v>1.1285401399999999</v>
          </cell>
          <cell r="F285">
            <v>1.12976802</v>
          </cell>
          <cell r="G285">
            <v>1.12442836</v>
          </cell>
        </row>
        <row r="286">
          <cell r="B286" t="str">
            <v>TLCPD</v>
          </cell>
          <cell r="C286">
            <v>1.11464301</v>
          </cell>
          <cell r="D286">
            <v>1.1190256300000001</v>
          </cell>
          <cell r="E286">
            <v>1.1198961199999999</v>
          </cell>
          <cell r="F286">
            <v>1.11690885</v>
          </cell>
          <cell r="G286">
            <v>1.11993787</v>
          </cell>
        </row>
        <row r="287">
          <cell r="B287" t="str">
            <v>AEC2D</v>
          </cell>
          <cell r="C287">
            <v>0.53432318999999995</v>
          </cell>
          <cell r="D287">
            <v>0.53442624999999999</v>
          </cell>
          <cell r="E287">
            <v>0.53566875999999997</v>
          </cell>
          <cell r="F287">
            <v>0.53600068000000001</v>
          </cell>
          <cell r="G287">
            <v>0.53682563999999999</v>
          </cell>
        </row>
        <row r="289">
          <cell r="B289" t="str">
            <v>Obligaciones Negociables Hard USD - LE - Contra $</v>
          </cell>
        </row>
        <row r="291">
          <cell r="B291" t="str">
            <v>PNDCO</v>
          </cell>
          <cell r="C291">
            <v>681.93756589999998</v>
          </cell>
          <cell r="D291">
            <v>684.41677733999995</v>
          </cell>
          <cell r="E291">
            <v>686.23777085999996</v>
          </cell>
          <cell r="F291">
            <v>688.28106253999999</v>
          </cell>
          <cell r="G291">
            <v>693.70997009999996</v>
          </cell>
        </row>
        <row r="292">
          <cell r="B292" t="str">
            <v>YCAMO</v>
          </cell>
          <cell r="C292">
            <v>1651.88548975</v>
          </cell>
          <cell r="D292">
            <v>1658.0595218399999</v>
          </cell>
          <cell r="E292">
            <v>1661.55726091</v>
          </cell>
          <cell r="F292">
            <v>1666.9529037</v>
          </cell>
          <cell r="G292">
            <v>1680.19386401</v>
          </cell>
        </row>
        <row r="293">
          <cell r="B293" t="str">
            <v>AER4O</v>
          </cell>
          <cell r="C293">
            <v>1178.6820378899999</v>
          </cell>
          <cell r="D293">
            <v>1183.0359857399999</v>
          </cell>
          <cell r="E293">
            <v>1185.3707557299999</v>
          </cell>
          <cell r="F293">
            <v>1189.19079401</v>
          </cell>
          <cell r="G293">
            <v>1198.61262865</v>
          </cell>
        </row>
        <row r="294">
          <cell r="B294" t="str">
            <v>YMCIO</v>
          </cell>
          <cell r="C294">
            <v>1477.8306483700001</v>
          </cell>
          <cell r="D294">
            <v>1468.3303789199999</v>
          </cell>
          <cell r="E294">
            <v>1471.3055220700001</v>
          </cell>
          <cell r="F294">
            <v>1483.1013832900001</v>
          </cell>
          <cell r="G294">
            <v>1487.6766087799999</v>
          </cell>
        </row>
        <row r="295">
          <cell r="B295" t="str">
            <v>BYCHO</v>
          </cell>
          <cell r="C295">
            <v>1642.3455753200001</v>
          </cell>
          <cell r="D295">
            <v>1648.4129270999999</v>
          </cell>
          <cell r="E295">
            <v>1651.26174315</v>
          </cell>
          <cell r="F295">
            <v>1656.68376939</v>
          </cell>
          <cell r="G295">
            <v>1669.8133814800001</v>
          </cell>
        </row>
        <row r="296">
          <cell r="B296" t="str">
            <v>YMCUO</v>
          </cell>
          <cell r="C296">
            <v>1548.03847309</v>
          </cell>
          <cell r="D296">
            <v>1551.6814049</v>
          </cell>
          <cell r="E296">
            <v>1556.00797347</v>
          </cell>
          <cell r="F296">
            <v>1561.94277371</v>
          </cell>
          <cell r="G296">
            <v>1567.27470859</v>
          </cell>
        </row>
        <row r="297">
          <cell r="B297" t="str">
            <v>YMC1O</v>
          </cell>
          <cell r="C297">
            <v>1710.37908634</v>
          </cell>
          <cell r="D297">
            <v>1716.47348519</v>
          </cell>
          <cell r="E297">
            <v>1719.67993469</v>
          </cell>
          <cell r="F297">
            <v>1725.00197164</v>
          </cell>
          <cell r="G297">
            <v>1738.54709701</v>
          </cell>
        </row>
        <row r="298">
          <cell r="B298" t="str">
            <v>ARC1O</v>
          </cell>
          <cell r="C298">
            <v>1655.0791069899999</v>
          </cell>
          <cell r="D298">
            <v>1660.80826346</v>
          </cell>
          <cell r="E298">
            <v>1664.34102246</v>
          </cell>
          <cell r="F298">
            <v>1672</v>
          </cell>
          <cell r="G298">
            <v>1682.2106224300001</v>
          </cell>
        </row>
        <row r="299">
          <cell r="B299" t="str">
            <v>TTCDO</v>
          </cell>
          <cell r="C299">
            <v>1675</v>
          </cell>
          <cell r="D299">
            <v>1689.2725700200001</v>
          </cell>
          <cell r="E299">
            <v>1690.2214273899999</v>
          </cell>
          <cell r="F299">
            <v>1704.2</v>
          </cell>
          <cell r="G299">
            <v>1705.7834252299999</v>
          </cell>
        </row>
        <row r="300">
          <cell r="B300" t="str">
            <v>YMCXO</v>
          </cell>
          <cell r="C300">
            <v>1695.7869122300001</v>
          </cell>
          <cell r="D300">
            <v>1697.3649620000001</v>
          </cell>
          <cell r="E300">
            <v>1694.2253003999999</v>
          </cell>
          <cell r="F300">
            <v>1692.3510564799999</v>
          </cell>
          <cell r="G300">
            <v>1709.6022665800001</v>
          </cell>
        </row>
        <row r="301">
          <cell r="B301" t="str">
            <v>PNXCO</v>
          </cell>
          <cell r="C301">
            <v>1734.52952559</v>
          </cell>
          <cell r="D301">
            <v>1739.89784573</v>
          </cell>
          <cell r="E301">
            <v>1744.33866803</v>
          </cell>
          <cell r="F301">
            <v>1748.5598399</v>
          </cell>
          <cell r="G301">
            <v>1761.8036765100001</v>
          </cell>
        </row>
        <row r="302">
          <cell r="B302" t="str">
            <v>PLC5O</v>
          </cell>
          <cell r="C302">
            <v>1702.63112514</v>
          </cell>
          <cell r="D302">
            <v>1688.69113122</v>
          </cell>
          <cell r="E302">
            <v>1693.8818180599999</v>
          </cell>
          <cell r="F302">
            <v>1716.34965726</v>
          </cell>
          <cell r="G302">
            <v>1707</v>
          </cell>
        </row>
        <row r="303">
          <cell r="B303" t="str">
            <v>TSC3O</v>
          </cell>
          <cell r="C303">
            <v>1702.55140972</v>
          </cell>
          <cell r="D303">
            <v>1705.2639337799999</v>
          </cell>
          <cell r="E303">
            <v>1712.19175002</v>
          </cell>
          <cell r="F303">
            <v>1716.1715099999999</v>
          </cell>
          <cell r="G303">
            <v>1731.5</v>
          </cell>
        </row>
        <row r="304">
          <cell r="B304" t="str">
            <v>YFCJO</v>
          </cell>
          <cell r="C304">
            <v>1628.1365433999999</v>
          </cell>
          <cell r="D304">
            <v>1632.91163185</v>
          </cell>
          <cell r="E304">
            <v>1610.4085667500001</v>
          </cell>
          <cell r="F304">
            <v>1641.0059798899999</v>
          </cell>
          <cell r="G304">
            <v>1653.2741942800001</v>
          </cell>
        </row>
        <row r="305">
          <cell r="B305" t="str">
            <v>MGCMO</v>
          </cell>
          <cell r="C305">
            <v>1647.3492497699999</v>
          </cell>
          <cell r="D305">
            <v>1675.2</v>
          </cell>
          <cell r="E305">
            <v>1656.69890803</v>
          </cell>
          <cell r="F305">
            <v>1660.42902925</v>
          </cell>
          <cell r="G305">
            <v>1693.5</v>
          </cell>
        </row>
        <row r="306">
          <cell r="B306" t="str">
            <v>TTCAO</v>
          </cell>
          <cell r="C306">
            <v>1637.5289484499999</v>
          </cell>
          <cell r="D306">
            <v>1642.2186624000001</v>
          </cell>
          <cell r="E306">
            <v>1639.7</v>
          </cell>
          <cell r="F306">
            <v>1647</v>
          </cell>
          <cell r="G306">
            <v>1662.6635005999999</v>
          </cell>
        </row>
        <row r="307">
          <cell r="B307" t="str">
            <v>PLC4O</v>
          </cell>
          <cell r="C307">
            <v>1700.18411896</v>
          </cell>
          <cell r="D307">
            <v>1724.9148917699999</v>
          </cell>
          <cell r="E307">
            <v>1715.8</v>
          </cell>
          <cell r="F307">
            <v>1714</v>
          </cell>
          <cell r="G307">
            <v>1746.3574692300001</v>
          </cell>
        </row>
        <row r="308">
          <cell r="B308" t="str">
            <v>VSCVO</v>
          </cell>
          <cell r="C308">
            <v>1715.69996436</v>
          </cell>
          <cell r="D308">
            <v>1721.4375542800001</v>
          </cell>
          <cell r="E308">
            <v>1724.35224053</v>
          </cell>
          <cell r="F308">
            <v>1734.7830400800001</v>
          </cell>
          <cell r="G308">
            <v>1729.53644525</v>
          </cell>
        </row>
        <row r="309">
          <cell r="B309" t="str">
            <v>YM34O</v>
          </cell>
          <cell r="C309">
            <v>1674.07171294</v>
          </cell>
          <cell r="D309">
            <v>1675.7515981900001</v>
          </cell>
          <cell r="E309">
            <v>1686.9925699400001</v>
          </cell>
          <cell r="F309">
            <v>1692.13825772</v>
          </cell>
          <cell r="G309">
            <v>1697.64638418</v>
          </cell>
        </row>
        <row r="310">
          <cell r="B310" t="str">
            <v>YMCJO</v>
          </cell>
          <cell r="C310">
            <v>1596.1889217299999</v>
          </cell>
          <cell r="D310">
            <v>1581.34195845</v>
          </cell>
          <cell r="E310">
            <v>1586.2104284300001</v>
          </cell>
          <cell r="F310">
            <v>1586.09540457</v>
          </cell>
          <cell r="G310">
            <v>1598.24144748</v>
          </cell>
        </row>
        <row r="311">
          <cell r="B311" t="str">
            <v>CAC5O</v>
          </cell>
          <cell r="C311">
            <v>835.04713602000004</v>
          </cell>
          <cell r="D311">
            <v>838.27072482000005</v>
          </cell>
          <cell r="E311">
            <v>839.90902028000005</v>
          </cell>
          <cell r="F311">
            <v>842.74327592999998</v>
          </cell>
          <cell r="G311">
            <v>849.39100542000006</v>
          </cell>
        </row>
        <row r="312">
          <cell r="B312" t="str">
            <v>TLCMO</v>
          </cell>
          <cell r="C312">
            <v>1721.6350084200001</v>
          </cell>
          <cell r="D312">
            <v>1740.5678430999999</v>
          </cell>
          <cell r="E312">
            <v>1746.6058293000001</v>
          </cell>
          <cell r="F312">
            <v>1755.0367575</v>
          </cell>
          <cell r="G312">
            <v>1753.2</v>
          </cell>
        </row>
        <row r="313">
          <cell r="B313" t="str">
            <v>TLCPO</v>
          </cell>
          <cell r="C313">
            <v>1707.7538793900001</v>
          </cell>
          <cell r="D313">
            <v>1728.59777839</v>
          </cell>
          <cell r="E313">
            <v>1734.9631246199999</v>
          </cell>
          <cell r="F313">
            <v>1727.8579545499999</v>
          </cell>
          <cell r="G313">
            <v>1742.7049903699999</v>
          </cell>
        </row>
        <row r="314">
          <cell r="B314" t="str">
            <v>AEC2O</v>
          </cell>
          <cell r="C314">
            <v>820.71224224000002</v>
          </cell>
          <cell r="D314">
            <v>823.69402353999999</v>
          </cell>
          <cell r="E314">
            <v>825.50025211000002</v>
          </cell>
          <cell r="F314">
            <v>828.15377459000001</v>
          </cell>
          <cell r="G314">
            <v>834.21031619999997</v>
          </cell>
        </row>
        <row r="316">
          <cell r="B316" t="str">
            <v>Obligaciones Negociables Dólar linked</v>
          </cell>
        </row>
        <row r="318">
          <cell r="B318" t="str">
            <v>GE22P</v>
          </cell>
          <cell r="C318">
            <v>522.87686119</v>
          </cell>
          <cell r="D318">
            <v>522.63075667999999</v>
          </cell>
          <cell r="E318">
            <v>523.32009315000005</v>
          </cell>
          <cell r="F318">
            <v>521.77455901999997</v>
          </cell>
          <cell r="G318">
            <v>522.19886231999999</v>
          </cell>
        </row>
        <row r="319">
          <cell r="B319" t="str">
            <v>HA12L</v>
          </cell>
          <cell r="C319">
            <v>1562.81540167</v>
          </cell>
          <cell r="D319">
            <v>1558.0375375000001</v>
          </cell>
          <cell r="E319">
            <v>1556.6194728600001</v>
          </cell>
          <cell r="F319">
            <v>1549.93658611</v>
          </cell>
          <cell r="G319">
            <v>1549.6361420200001</v>
          </cell>
        </row>
        <row r="320">
          <cell r="B320" t="str">
            <v>APS1L</v>
          </cell>
          <cell r="C320">
            <v>1545.9597967100001</v>
          </cell>
          <cell r="D320">
            <v>1544.5333370599999</v>
          </cell>
          <cell r="E320">
            <v>1546.6492369600001</v>
          </cell>
          <cell r="F320">
            <v>1545.35012631</v>
          </cell>
          <cell r="G320">
            <v>1545.48304581</v>
          </cell>
        </row>
        <row r="321">
          <cell r="B321" t="str">
            <v>GN37O</v>
          </cell>
          <cell r="C321">
            <v>507.59137991</v>
          </cell>
          <cell r="D321">
            <v>507.93667001</v>
          </cell>
          <cell r="E321">
            <v>508.56876714999999</v>
          </cell>
          <cell r="F321">
            <v>508.51363421999997</v>
          </cell>
          <cell r="G321">
            <v>508.81520049</v>
          </cell>
        </row>
        <row r="322">
          <cell r="B322" t="str">
            <v>VSCIO</v>
          </cell>
          <cell r="C322">
            <v>1520.7735996399999</v>
          </cell>
          <cell r="D322">
            <v>1521.22302534</v>
          </cell>
          <cell r="E322">
            <v>1523.13597757</v>
          </cell>
          <cell r="F322">
            <v>1521.2719700299999</v>
          </cell>
          <cell r="G322">
            <v>1522.2827756500001</v>
          </cell>
        </row>
        <row r="323">
          <cell r="B323" t="str">
            <v>PNJCO</v>
          </cell>
          <cell r="C323">
            <v>1524.70251304</v>
          </cell>
          <cell r="D323">
            <v>1524.1202967700001</v>
          </cell>
          <cell r="E323">
            <v>1519.5</v>
          </cell>
          <cell r="F323">
            <v>1521.8262199000001</v>
          </cell>
          <cell r="G323">
            <v>1522.92262822</v>
          </cell>
        </row>
        <row r="324">
          <cell r="B324" t="str">
            <v>VSCJO</v>
          </cell>
          <cell r="C324">
            <v>1512.3057636399999</v>
          </cell>
          <cell r="D324">
            <v>1511.4141686400001</v>
          </cell>
          <cell r="E324">
            <v>1513.3641474599999</v>
          </cell>
          <cell r="F324">
            <v>1508.6376906200001</v>
          </cell>
          <cell r="G324">
            <v>1509.9345000000001</v>
          </cell>
        </row>
        <row r="325">
          <cell r="B325" t="str">
            <v>TLCDO</v>
          </cell>
          <cell r="C325">
            <v>1519.04982812</v>
          </cell>
          <cell r="D325">
            <v>1518.08366093</v>
          </cell>
          <cell r="E325">
            <v>1520.0451372699999</v>
          </cell>
          <cell r="F325">
            <v>1515.20515998</v>
          </cell>
          <cell r="G325">
            <v>1516.27745286</v>
          </cell>
        </row>
        <row r="326">
          <cell r="B326" t="str">
            <v>PNZCO</v>
          </cell>
          <cell r="C326">
            <v>1492.72089289</v>
          </cell>
          <cell r="D326">
            <v>1489.59</v>
          </cell>
          <cell r="E326">
            <v>1492.8255118699999</v>
          </cell>
          <cell r="F326">
            <v>1488.1567661199999</v>
          </cell>
          <cell r="G326">
            <v>1488.85164506</v>
          </cell>
        </row>
        <row r="327">
          <cell r="B327" t="str">
            <v>OLC3O</v>
          </cell>
          <cell r="C327">
            <v>1491.4248024599999</v>
          </cell>
          <cell r="D327">
            <v>1489.17</v>
          </cell>
          <cell r="E327">
            <v>1491.50581515</v>
          </cell>
          <cell r="F327">
            <v>1486.9419813</v>
          </cell>
          <cell r="G327">
            <v>1487.60468492</v>
          </cell>
        </row>
        <row r="328">
          <cell r="B328" t="str">
            <v>MGCEO</v>
          </cell>
          <cell r="C328">
            <v>1457.94019996</v>
          </cell>
          <cell r="D328">
            <v>1456.24817065</v>
          </cell>
          <cell r="E328">
            <v>1458.2117179100001</v>
          </cell>
          <cell r="F328">
            <v>1457.5183902399999</v>
          </cell>
          <cell r="G328">
            <v>1457.3084425100001</v>
          </cell>
        </row>
        <row r="329">
          <cell r="B329" t="str">
            <v>OLC2O</v>
          </cell>
          <cell r="C329">
            <v>1443.708742</v>
          </cell>
          <cell r="D329">
            <v>1443.4602023499999</v>
          </cell>
          <cell r="E329">
            <v>1445.4189690799999</v>
          </cell>
          <cell r="F329">
            <v>1449.3134940800001</v>
          </cell>
          <cell r="G329">
            <v>1448.20236514</v>
          </cell>
        </row>
        <row r="330">
          <cell r="B330" t="str">
            <v>MR43O</v>
          </cell>
          <cell r="C330">
            <v>457.00398000000001</v>
          </cell>
          <cell r="D330">
            <v>457.45202999999998</v>
          </cell>
          <cell r="E330">
            <v>457.99991999999997</v>
          </cell>
          <cell r="F330">
            <v>458.35532999999998</v>
          </cell>
          <cell r="G330">
            <v>458.47890000000001</v>
          </cell>
        </row>
        <row r="331">
          <cell r="B331" t="str">
            <v>DRSAO</v>
          </cell>
          <cell r="C331">
            <v>9.9999999999999995E-8</v>
          </cell>
          <cell r="D331">
            <v>9.9999999999999995E-8</v>
          </cell>
          <cell r="E331">
            <v>9.9999999999999995E-8</v>
          </cell>
          <cell r="F331">
            <v>9.9999999999999995E-8</v>
          </cell>
          <cell r="G331">
            <v>9.9999999999999995E-8</v>
          </cell>
        </row>
        <row r="333">
          <cell r="B333" t="str">
            <v>Fideicomisos Financieros Tamar</v>
          </cell>
        </row>
        <row r="335">
          <cell r="B335" t="str">
            <v>CO18A</v>
          </cell>
          <cell r="C335">
            <v>0.18375765999999999</v>
          </cell>
          <cell r="D335">
            <v>0.18388591000000001</v>
          </cell>
          <cell r="E335">
            <v>0.18401857999999999</v>
          </cell>
          <cell r="F335">
            <v>0.18425111</v>
          </cell>
          <cell r="G335">
            <v>0.18463473</v>
          </cell>
        </row>
        <row r="336">
          <cell r="B336" t="str">
            <v>CO17A</v>
          </cell>
          <cell r="C336">
            <v>0.20025925999999999</v>
          </cell>
          <cell r="D336">
            <v>0.20039903000000001</v>
          </cell>
          <cell r="E336">
            <v>0.20054361000000001</v>
          </cell>
          <cell r="F336">
            <v>0.20079701</v>
          </cell>
          <cell r="G336">
            <v>0.20121507999999999</v>
          </cell>
        </row>
        <row r="337">
          <cell r="B337" t="str">
            <v>CO19A</v>
          </cell>
          <cell r="C337">
            <v>0.82763434999999996</v>
          </cell>
          <cell r="D337">
            <v>0.82829483999999998</v>
          </cell>
          <cell r="E337">
            <v>0.82892387000000001</v>
          </cell>
          <cell r="F337">
            <v>0.83056839000000005</v>
          </cell>
          <cell r="G337">
            <v>0.83236743999999996</v>
          </cell>
        </row>
        <row r="338">
          <cell r="B338" t="str">
            <v>CO20A</v>
          </cell>
          <cell r="C338">
            <v>1.00953973</v>
          </cell>
          <cell r="D338">
            <v>1.0104022500000001</v>
          </cell>
          <cell r="E338">
            <v>1.0111486999999999</v>
          </cell>
          <cell r="F338">
            <v>1.01304423</v>
          </cell>
          <cell r="G338">
            <v>1.0152165799999999</v>
          </cell>
        </row>
        <row r="339">
          <cell r="B339" t="str">
            <v>CF82A</v>
          </cell>
          <cell r="C339">
            <v>1.87002E-2</v>
          </cell>
          <cell r="D339">
            <v>1.8712929999999999E-2</v>
          </cell>
          <cell r="E339">
            <v>1.8726949999999999E-2</v>
          </cell>
          <cell r="F339">
            <v>1.8750059999999999E-2</v>
          </cell>
          <cell r="G339">
            <v>1.8789480000000001E-2</v>
          </cell>
        </row>
        <row r="340">
          <cell r="B340" t="str">
            <v>M333A</v>
          </cell>
          <cell r="C340">
            <v>0.19152807999999999</v>
          </cell>
          <cell r="D340">
            <v>0.19165983</v>
          </cell>
          <cell r="E340">
            <v>0.19179492000000001</v>
          </cell>
          <cell r="F340">
            <v>0.19194107999999999</v>
          </cell>
          <cell r="G340">
            <v>0.15143449</v>
          </cell>
        </row>
        <row r="341">
          <cell r="B341" t="str">
            <v>M331A</v>
          </cell>
          <cell r="C341">
            <v>9.7287280000000004E-2</v>
          </cell>
          <cell r="D341">
            <v>9.7354200000000002E-2</v>
          </cell>
          <cell r="E341">
            <v>9.7422819999999993E-2</v>
          </cell>
          <cell r="F341">
            <v>9.7497059999999997E-2</v>
          </cell>
          <cell r="G341">
            <v>5.523608E-2</v>
          </cell>
        </row>
        <row r="342">
          <cell r="B342" t="str">
            <v>M327A</v>
          </cell>
          <cell r="C342">
            <v>2.6838219999999999E-2</v>
          </cell>
          <cell r="D342">
            <v>2.6856680000000001E-2</v>
          </cell>
          <cell r="E342">
            <v>2.6875610000000001E-2</v>
          </cell>
          <cell r="F342">
            <v>2.6896090000000001E-2</v>
          </cell>
          <cell r="G342">
            <v>2.6950953200000002E-2</v>
          </cell>
        </row>
        <row r="343">
          <cell r="B343" t="str">
            <v>M329A</v>
          </cell>
          <cell r="C343">
            <v>5.9561589999999998E-2</v>
          </cell>
          <cell r="D343">
            <v>5.9602559999999999E-2</v>
          </cell>
          <cell r="E343">
            <v>5.9644570000000001E-2</v>
          </cell>
          <cell r="F343">
            <v>5.9690020000000003E-2</v>
          </cell>
          <cell r="G343">
            <v>2.2078339999999998E-2</v>
          </cell>
        </row>
        <row r="344">
          <cell r="B344" t="str">
            <v>M322A</v>
          </cell>
          <cell r="C344">
            <v>7.9194829999999994E-2</v>
          </cell>
          <cell r="D344">
            <v>7.9249169999999994E-2</v>
          </cell>
          <cell r="E344">
            <v>7.9305139999999996E-2</v>
          </cell>
          <cell r="F344">
            <v>7.9367220000000002E-2</v>
          </cell>
          <cell r="G344">
            <v>7.9529349999999999E-2</v>
          </cell>
        </row>
        <row r="345">
          <cell r="B345" t="str">
            <v>M320A</v>
          </cell>
          <cell r="C345">
            <v>2.4198979999999998E-2</v>
          </cell>
          <cell r="D345">
            <v>2.421558E-2</v>
          </cell>
          <cell r="E345">
            <v>2.4232679999999999E-2</v>
          </cell>
          <cell r="F345">
            <v>2.425165E-2</v>
          </cell>
          <cell r="G345">
            <v>2.430119E-2</v>
          </cell>
        </row>
        <row r="346">
          <cell r="B346" t="str">
            <v>C199A</v>
          </cell>
          <cell r="C346">
            <v>2.550871E-2</v>
          </cell>
          <cell r="D346">
            <v>2.5526259999999999E-2</v>
          </cell>
          <cell r="E346">
            <v>2.5544250000000001E-2</v>
          </cell>
          <cell r="F346">
            <v>2.5563720000000002E-2</v>
          </cell>
          <cell r="G346">
            <v>2.56158644E-2</v>
          </cell>
        </row>
        <row r="347">
          <cell r="B347" t="str">
            <v>CF83A</v>
          </cell>
          <cell r="C347">
            <v>0.18170379</v>
          </cell>
          <cell r="D347">
            <v>0.18182081999999999</v>
          </cell>
          <cell r="E347">
            <v>0.18195500000000001</v>
          </cell>
          <cell r="F347">
            <v>0.18217816000000001</v>
          </cell>
          <cell r="G347">
            <v>0.18256281999999999</v>
          </cell>
        </row>
        <row r="348">
          <cell r="B348" t="str">
            <v>CU57A</v>
          </cell>
          <cell r="C348">
            <v>0.11956522999999999</v>
          </cell>
          <cell r="D348">
            <v>0.11964234</v>
          </cell>
          <cell r="E348">
            <v>0.11973072999999999</v>
          </cell>
          <cell r="F348">
            <v>0.11987962000000001</v>
          </cell>
          <cell r="G348">
            <v>0.12013283</v>
          </cell>
        </row>
        <row r="349">
          <cell r="B349" t="str">
            <v>CU58A</v>
          </cell>
          <cell r="C349">
            <v>0.20654782999999999</v>
          </cell>
          <cell r="D349">
            <v>0.20668197999999999</v>
          </cell>
          <cell r="E349">
            <v>0.20683561</v>
          </cell>
          <cell r="F349">
            <v>0.20711275000000001</v>
          </cell>
          <cell r="G349">
            <v>0.20755119999999999</v>
          </cell>
        </row>
        <row r="350">
          <cell r="B350" t="str">
            <v>DT44A</v>
          </cell>
          <cell r="C350">
            <v>0.16110131</v>
          </cell>
          <cell r="D350">
            <v>0.16121506999999999</v>
          </cell>
          <cell r="E350">
            <v>0.16133057000000001</v>
          </cell>
          <cell r="F350">
            <v>0.16152378000000001</v>
          </cell>
          <cell r="G350">
            <v>0.16185827999999999</v>
          </cell>
        </row>
        <row r="351">
          <cell r="B351" t="str">
            <v>DT45A</v>
          </cell>
          <cell r="C351">
            <v>0.26657177999999998</v>
          </cell>
          <cell r="D351">
            <v>0.26676229000000001</v>
          </cell>
          <cell r="E351">
            <v>0.26695523999999998</v>
          </cell>
          <cell r="F351">
            <v>0.26731544000000002</v>
          </cell>
          <cell r="G351">
            <v>0.26787060000000001</v>
          </cell>
        </row>
        <row r="352">
          <cell r="B352" t="str">
            <v>CU59A</v>
          </cell>
          <cell r="C352">
            <v>0.41081056999999999</v>
          </cell>
          <cell r="D352">
            <v>0.41108277999999998</v>
          </cell>
          <cell r="E352">
            <v>0.41139313999999999</v>
          </cell>
          <cell r="F352">
            <v>0.41204573</v>
          </cell>
          <cell r="G352">
            <v>0.41292321999999998</v>
          </cell>
        </row>
        <row r="353">
          <cell r="B353" t="str">
            <v>M341A</v>
          </cell>
          <cell r="C353">
            <v>0.23529636000000001</v>
          </cell>
          <cell r="D353">
            <v>0.23546453000000001</v>
          </cell>
          <cell r="E353">
            <v>0.23563685000000001</v>
          </cell>
          <cell r="F353">
            <v>0.23595366000000001</v>
          </cell>
          <cell r="G353">
            <v>0.16104280000000001</v>
          </cell>
        </row>
        <row r="354">
          <cell r="B354" t="str">
            <v>C200A</v>
          </cell>
          <cell r="C354">
            <v>0.36593144</v>
          </cell>
          <cell r="D354">
            <v>0.36619369000000002</v>
          </cell>
          <cell r="E354">
            <v>0.36646242000000001</v>
          </cell>
          <cell r="F354">
            <v>0.36698750000000002</v>
          </cell>
          <cell r="G354">
            <v>0.22888064999999999</v>
          </cell>
        </row>
        <row r="355">
          <cell r="B355" t="str">
            <v>M343A</v>
          </cell>
          <cell r="C355">
            <v>0.35288603000000002</v>
          </cell>
          <cell r="D355">
            <v>0.35314131999999998</v>
          </cell>
          <cell r="E355">
            <v>0.35340254999999998</v>
          </cell>
          <cell r="F355">
            <v>0.35393647</v>
          </cell>
          <cell r="G355">
            <v>0.26211479999999998</v>
          </cell>
        </row>
        <row r="356">
          <cell r="B356" t="str">
            <v>C201A</v>
          </cell>
          <cell r="C356">
            <v>0.40675031</v>
          </cell>
          <cell r="D356">
            <v>0.40704368000000002</v>
          </cell>
          <cell r="E356">
            <v>0.40734380999999997</v>
          </cell>
          <cell r="F356">
            <v>0.40805287000000001</v>
          </cell>
          <cell r="G356">
            <v>0.25700306000000001</v>
          </cell>
        </row>
        <row r="357">
          <cell r="B357" t="str">
            <v>CF86A</v>
          </cell>
          <cell r="C357">
            <v>0.36743710000000002</v>
          </cell>
          <cell r="D357">
            <v>0.36770594000000001</v>
          </cell>
          <cell r="E357">
            <v>0.36798687000000002</v>
          </cell>
          <cell r="F357">
            <v>0.36860842999999999</v>
          </cell>
          <cell r="G357">
            <v>0.36938243999999998</v>
          </cell>
        </row>
        <row r="358">
          <cell r="B358" t="str">
            <v>DT46A</v>
          </cell>
          <cell r="C358">
            <v>0.62854463000000005</v>
          </cell>
          <cell r="D358">
            <v>0.62900338</v>
          </cell>
          <cell r="E358">
            <v>0.62946606999999999</v>
          </cell>
          <cell r="F358">
            <v>0.63048166000000005</v>
          </cell>
          <cell r="G358">
            <v>0.631799</v>
          </cell>
        </row>
        <row r="359">
          <cell r="B359" t="str">
            <v>M345A</v>
          </cell>
          <cell r="C359">
            <v>0.43000118999999998</v>
          </cell>
          <cell r="D359">
            <v>0.43031574</v>
          </cell>
          <cell r="E359">
            <v>0.43063678999999999</v>
          </cell>
          <cell r="F359">
            <v>0.43134412</v>
          </cell>
          <cell r="G359">
            <v>0.32791552000000002</v>
          </cell>
        </row>
        <row r="360">
          <cell r="B360" t="str">
            <v>CU60A</v>
          </cell>
          <cell r="C360">
            <v>0.70053321999999996</v>
          </cell>
          <cell r="D360">
            <v>0.70099979000000001</v>
          </cell>
          <cell r="E360">
            <v>0.70153069999999995</v>
          </cell>
          <cell r="F360">
            <v>0.70267378999999996</v>
          </cell>
          <cell r="G360">
            <v>0.70417335999999997</v>
          </cell>
        </row>
        <row r="361">
          <cell r="B361" t="str">
            <v>CU61A</v>
          </cell>
          <cell r="C361">
            <v>0.99913220999999997</v>
          </cell>
          <cell r="D361">
            <v>0.99979963999999999</v>
          </cell>
          <cell r="E361">
            <v>1.00055776</v>
          </cell>
          <cell r="F361">
            <v>1.00220585</v>
          </cell>
          <cell r="G361">
            <v>1.0043463699999999</v>
          </cell>
        </row>
        <row r="362">
          <cell r="B362" t="str">
            <v>M347A</v>
          </cell>
          <cell r="C362">
            <v>0.52387894000000002</v>
          </cell>
          <cell r="D362">
            <v>0.52426865</v>
          </cell>
          <cell r="E362">
            <v>0.52466400999999996</v>
          </cell>
          <cell r="F362">
            <v>0.52561234999999995</v>
          </cell>
          <cell r="G362">
            <v>0.42514492999999998</v>
          </cell>
        </row>
        <row r="363">
          <cell r="B363" t="str">
            <v>C202A</v>
          </cell>
          <cell r="C363">
            <v>0.72260913000000004</v>
          </cell>
          <cell r="D363">
            <v>0.72315660000000004</v>
          </cell>
          <cell r="E363">
            <v>0.72370508</v>
          </cell>
          <cell r="F363">
            <v>0.72506342999999995</v>
          </cell>
          <cell r="G363">
            <v>0.59968027000000002</v>
          </cell>
        </row>
        <row r="364">
          <cell r="B364" t="str">
            <v>SK01A</v>
          </cell>
          <cell r="C364">
            <v>0.32201277</v>
          </cell>
          <cell r="D364">
            <v>0.32225827000000001</v>
          </cell>
          <cell r="E364">
            <v>0.32249972999999998</v>
          </cell>
          <cell r="F364">
            <v>0.32312366999999997</v>
          </cell>
          <cell r="G364">
            <v>0.32380268000000001</v>
          </cell>
        </row>
        <row r="365">
          <cell r="B365" t="str">
            <v>DT47A</v>
          </cell>
          <cell r="C365">
            <v>0.99882298999999997</v>
          </cell>
          <cell r="D365">
            <v>0.99956884999999995</v>
          </cell>
          <cell r="E365">
            <v>1.0003151299999999</v>
          </cell>
          <cell r="F365">
            <v>1.0021588800000001</v>
          </cell>
          <cell r="G365">
            <v>1.0042668299999999</v>
          </cell>
        </row>
        <row r="366">
          <cell r="B366" t="str">
            <v>M349A</v>
          </cell>
          <cell r="C366">
            <v>0.63502709000000002</v>
          </cell>
          <cell r="D366">
            <v>0.63550618999999997</v>
          </cell>
          <cell r="E366">
            <v>0.63598865000000004</v>
          </cell>
          <cell r="F366">
            <v>0.63720091000000001</v>
          </cell>
          <cell r="G366">
            <v>0.53326711999999998</v>
          </cell>
        </row>
        <row r="367">
          <cell r="B367" t="str">
            <v>M351A</v>
          </cell>
          <cell r="C367">
            <v>0.69765812000000005</v>
          </cell>
          <cell r="D367">
            <v>0.69818652000000003</v>
          </cell>
          <cell r="E367">
            <v>0.69871738999999999</v>
          </cell>
          <cell r="F367">
            <v>0.70006431000000002</v>
          </cell>
          <cell r="G367">
            <v>0.58031580000000005</v>
          </cell>
        </row>
        <row r="368">
          <cell r="B368" t="str">
            <v>M353A</v>
          </cell>
          <cell r="C368">
            <v>0.79296124000000001</v>
          </cell>
          <cell r="D368">
            <v>0.79356351000000003</v>
          </cell>
          <cell r="E368">
            <v>0.79416704000000005</v>
          </cell>
          <cell r="F368">
            <v>0.79569811000000001</v>
          </cell>
          <cell r="G368">
            <v>0.65623041000000004</v>
          </cell>
        </row>
        <row r="369">
          <cell r="B369" t="str">
            <v>M355A</v>
          </cell>
          <cell r="C369">
            <v>0.92235787000000002</v>
          </cell>
          <cell r="D369">
            <v>0.92306387000000001</v>
          </cell>
          <cell r="E369">
            <v>0.92376754000000005</v>
          </cell>
          <cell r="F369">
            <v>0.92557637999999998</v>
          </cell>
          <cell r="G369">
            <v>0.79272450000000005</v>
          </cell>
        </row>
        <row r="370">
          <cell r="B370" t="str">
            <v>DT48A</v>
          </cell>
          <cell r="C370">
            <v>0.99684930000000005</v>
          </cell>
          <cell r="D370">
            <v>0.99761480000000002</v>
          </cell>
          <cell r="E370">
            <v>0.99837310999999995</v>
          </cell>
          <cell r="F370">
            <v>1.0004973100000001</v>
          </cell>
          <cell r="G370">
            <v>1.0026185700000001</v>
          </cell>
        </row>
        <row r="371">
          <cell r="B371" t="str">
            <v>C203A</v>
          </cell>
          <cell r="F371">
            <v>1.0131459300000001</v>
          </cell>
          <cell r="G371">
            <v>1.0152868100000001</v>
          </cell>
        </row>
        <row r="372">
          <cell r="B372" t="str">
            <v>DT49A</v>
          </cell>
          <cell r="C372">
            <v>0.99450782999999998</v>
          </cell>
          <cell r="D372">
            <v>0.9952879</v>
          </cell>
          <cell r="E372">
            <v>0.99605297000000004</v>
          </cell>
          <cell r="F372">
            <v>0.99834268999999998</v>
          </cell>
          <cell r="G372">
            <v>1.00047336</v>
          </cell>
        </row>
        <row r="373">
          <cell r="B373" t="str">
            <v>M357A</v>
          </cell>
          <cell r="C373">
            <v>1.0457326300000001</v>
          </cell>
          <cell r="D373">
            <v>1.0465458999999999</v>
          </cell>
          <cell r="E373">
            <v>1.0473464100000001</v>
          </cell>
          <cell r="F373">
            <v>1.0494456400000001</v>
          </cell>
          <cell r="G373">
            <v>0.92550973999999997</v>
          </cell>
        </row>
        <row r="374">
          <cell r="B374" t="str">
            <v>DT50A</v>
          </cell>
          <cell r="C374">
            <v>0.99369213999999995</v>
          </cell>
          <cell r="D374">
            <v>0.99447443000000002</v>
          </cell>
          <cell r="E374">
            <v>0.99523936999999996</v>
          </cell>
          <cell r="F374">
            <v>0.99753197000000005</v>
          </cell>
          <cell r="G374">
            <v>0.99966370000000004</v>
          </cell>
        </row>
        <row r="375">
          <cell r="B375" t="str">
            <v>WC08A</v>
          </cell>
          <cell r="C375">
            <v>0.82075540000000002</v>
          </cell>
          <cell r="D375">
            <v>0.82136439999999999</v>
          </cell>
          <cell r="E375">
            <v>0.82200236000000004</v>
          </cell>
          <cell r="F375">
            <v>0.82367838999999998</v>
          </cell>
          <cell r="G375">
            <v>0.82546777999999998</v>
          </cell>
        </row>
        <row r="376">
          <cell r="B376" t="str">
            <v>M359A</v>
          </cell>
          <cell r="C376">
            <v>1.01704415</v>
          </cell>
          <cell r="D376">
            <v>1.01785393</v>
          </cell>
          <cell r="E376">
            <v>1.01862981</v>
          </cell>
          <cell r="F376">
            <v>1.0208134600000001</v>
          </cell>
          <cell r="G376">
            <v>1.02299604</v>
          </cell>
        </row>
        <row r="377">
          <cell r="B377" t="str">
            <v>SK02A</v>
          </cell>
          <cell r="C377">
            <v>0.69253854999999997</v>
          </cell>
          <cell r="D377">
            <v>0.69310198999999995</v>
          </cell>
          <cell r="E377">
            <v>0.69362570999999995</v>
          </cell>
          <cell r="F377">
            <v>0.69501891000000005</v>
          </cell>
          <cell r="G377">
            <v>0.69650619000000003</v>
          </cell>
        </row>
        <row r="378">
          <cell r="B378" t="str">
            <v>DT54A</v>
          </cell>
          <cell r="C378">
            <v>0.98190966999999996</v>
          </cell>
          <cell r="D378">
            <v>0.98273295999999999</v>
          </cell>
          <cell r="E378">
            <v>0.98348944000000005</v>
          </cell>
          <cell r="F378">
            <v>0.98569881999999998</v>
          </cell>
          <cell r="G378">
            <v>0.98784132000000002</v>
          </cell>
        </row>
        <row r="379">
          <cell r="B379" t="str">
            <v>DT55A</v>
          </cell>
          <cell r="C379">
            <v>0.96142488000000004</v>
          </cell>
          <cell r="D379">
            <v>0.96220240999999995</v>
          </cell>
          <cell r="E379">
            <v>0.96295463000000003</v>
          </cell>
          <cell r="F379">
            <v>0.96500923999999999</v>
          </cell>
          <cell r="G379">
            <v>0.96713373000000002</v>
          </cell>
        </row>
        <row r="381">
          <cell r="B381" t="str">
            <v>Acciones en Pesos</v>
          </cell>
        </row>
        <row r="383">
          <cell r="B383" t="str">
            <v>GGAL</v>
          </cell>
          <cell r="C383">
            <v>5690</v>
          </cell>
          <cell r="D383">
            <v>5765</v>
          </cell>
          <cell r="E383">
            <v>6015</v>
          </cell>
          <cell r="F383">
            <v>5900</v>
          </cell>
          <cell r="G383">
            <v>6260</v>
          </cell>
        </row>
        <row r="384">
          <cell r="B384" t="str">
            <v>TXAR</v>
          </cell>
          <cell r="C384">
            <v>693</v>
          </cell>
          <cell r="D384">
            <v>717.5</v>
          </cell>
          <cell r="E384">
            <v>767</v>
          </cell>
          <cell r="F384">
            <v>769</v>
          </cell>
          <cell r="G384">
            <v>776</v>
          </cell>
        </row>
        <row r="385">
          <cell r="B385" t="str">
            <v>YPFD</v>
          </cell>
          <cell r="C385">
            <v>8235</v>
          </cell>
          <cell r="D385">
            <v>8220</v>
          </cell>
          <cell r="E385">
            <v>8240</v>
          </cell>
          <cell r="F385">
            <v>8040</v>
          </cell>
          <cell r="G385">
            <v>8350</v>
          </cell>
        </row>
        <row r="386">
          <cell r="B386" t="str">
            <v>PAMP</v>
          </cell>
          <cell r="C386">
            <v>5165</v>
          </cell>
          <cell r="D386">
            <v>5080</v>
          </cell>
          <cell r="E386">
            <v>5100</v>
          </cell>
          <cell r="F386">
            <v>5085</v>
          </cell>
          <cell r="G386">
            <v>5250</v>
          </cell>
        </row>
        <row r="387">
          <cell r="B387" t="str">
            <v>BBAR</v>
          </cell>
          <cell r="C387">
            <v>6820</v>
          </cell>
          <cell r="D387">
            <v>6785</v>
          </cell>
          <cell r="E387">
            <v>6940</v>
          </cell>
          <cell r="F387">
            <v>6830</v>
          </cell>
          <cell r="G387">
            <v>7240</v>
          </cell>
        </row>
        <row r="388">
          <cell r="B388" t="str">
            <v>ALUA</v>
          </cell>
          <cell r="C388">
            <v>816.5</v>
          </cell>
          <cell r="D388">
            <v>821</v>
          </cell>
          <cell r="E388">
            <v>835</v>
          </cell>
          <cell r="F388">
            <v>852.5</v>
          </cell>
          <cell r="G388">
            <v>887</v>
          </cell>
        </row>
        <row r="389">
          <cell r="B389" t="str">
            <v>LOMA</v>
          </cell>
          <cell r="C389">
            <v>3232.5</v>
          </cell>
          <cell r="D389">
            <v>3142.5</v>
          </cell>
          <cell r="E389">
            <v>3152.5</v>
          </cell>
          <cell r="F389">
            <v>3065</v>
          </cell>
          <cell r="G389">
            <v>3220</v>
          </cell>
        </row>
        <row r="390">
          <cell r="B390" t="str">
            <v>CEPU</v>
          </cell>
          <cell r="C390">
            <v>2034</v>
          </cell>
          <cell r="D390">
            <v>1993</v>
          </cell>
          <cell r="E390">
            <v>1995</v>
          </cell>
          <cell r="F390">
            <v>1920</v>
          </cell>
          <cell r="G390">
            <v>1992</v>
          </cell>
        </row>
        <row r="391">
          <cell r="B391" t="str">
            <v>BYMA</v>
          </cell>
          <cell r="C391">
            <v>242</v>
          </cell>
          <cell r="D391">
            <v>234.75</v>
          </cell>
          <cell r="E391">
            <v>240</v>
          </cell>
          <cell r="F391">
            <v>242.75</v>
          </cell>
          <cell r="G391">
            <v>243.25</v>
          </cell>
        </row>
        <row r="392">
          <cell r="B392" t="str">
            <v>SUPV</v>
          </cell>
          <cell r="C392">
            <v>2333</v>
          </cell>
          <cell r="D392">
            <v>2333</v>
          </cell>
          <cell r="E392">
            <v>2426</v>
          </cell>
          <cell r="F392">
            <v>2378</v>
          </cell>
          <cell r="G392">
            <v>2530</v>
          </cell>
        </row>
        <row r="393">
          <cell r="B393" t="str">
            <v>TGNO4</v>
          </cell>
          <cell r="C393">
            <v>3122.5</v>
          </cell>
          <cell r="D393">
            <v>3022.5</v>
          </cell>
          <cell r="E393">
            <v>2972.5</v>
          </cell>
          <cell r="F393">
            <v>2917.5</v>
          </cell>
          <cell r="G393">
            <v>3007.5</v>
          </cell>
        </row>
        <row r="394">
          <cell r="B394" t="str">
            <v>CRES</v>
          </cell>
          <cell r="C394">
            <v>1842</v>
          </cell>
          <cell r="D394">
            <v>1811</v>
          </cell>
          <cell r="E394">
            <v>1818</v>
          </cell>
          <cell r="F394">
            <v>1784</v>
          </cell>
          <cell r="G394">
            <v>1888</v>
          </cell>
        </row>
        <row r="395">
          <cell r="B395" t="str">
            <v>TECO2</v>
          </cell>
          <cell r="C395">
            <v>3960</v>
          </cell>
          <cell r="D395">
            <v>4045</v>
          </cell>
          <cell r="E395">
            <v>4275</v>
          </cell>
          <cell r="F395">
            <v>4147.5</v>
          </cell>
          <cell r="G395">
            <v>4235</v>
          </cell>
        </row>
        <row r="396">
          <cell r="B396" t="str">
            <v>VALO</v>
          </cell>
          <cell r="C396">
            <v>523</v>
          </cell>
          <cell r="D396">
            <v>527</v>
          </cell>
          <cell r="E396">
            <v>525</v>
          </cell>
          <cell r="F396">
            <v>514</v>
          </cell>
          <cell r="G396">
            <v>520</v>
          </cell>
        </row>
        <row r="397">
          <cell r="B397" t="str">
            <v>TGSU2</v>
          </cell>
          <cell r="C397">
            <v>8365</v>
          </cell>
          <cell r="D397">
            <v>8435</v>
          </cell>
          <cell r="E397">
            <v>8560</v>
          </cell>
          <cell r="F397">
            <v>8475</v>
          </cell>
          <cell r="G397">
            <v>8985</v>
          </cell>
        </row>
        <row r="398">
          <cell r="B398" t="str">
            <v>AUSO</v>
          </cell>
          <cell r="C398">
            <v>2770</v>
          </cell>
          <cell r="D398">
            <v>2740</v>
          </cell>
          <cell r="E398">
            <v>2785</v>
          </cell>
          <cell r="F398">
            <v>2745</v>
          </cell>
          <cell r="G398">
            <v>2830</v>
          </cell>
        </row>
        <row r="399">
          <cell r="B399" t="str">
            <v>METR</v>
          </cell>
          <cell r="C399">
            <v>2345</v>
          </cell>
          <cell r="D399">
            <v>2341</v>
          </cell>
          <cell r="E399">
            <v>2354</v>
          </cell>
          <cell r="F399">
            <v>2346</v>
          </cell>
          <cell r="G399">
            <v>2429</v>
          </cell>
        </row>
        <row r="400">
          <cell r="B400" t="str">
            <v>ECOG</v>
          </cell>
          <cell r="C400">
            <v>2358</v>
          </cell>
          <cell r="D400">
            <v>2292</v>
          </cell>
          <cell r="E400">
            <v>2288</v>
          </cell>
          <cell r="F400">
            <v>2231</v>
          </cell>
          <cell r="G400">
            <v>2294</v>
          </cell>
        </row>
        <row r="401">
          <cell r="B401" t="str">
            <v>COME</v>
          </cell>
          <cell r="C401">
            <v>36.33</v>
          </cell>
          <cell r="D401">
            <v>37.68</v>
          </cell>
          <cell r="E401">
            <v>37.590000000000003</v>
          </cell>
          <cell r="F401">
            <v>36.26</v>
          </cell>
          <cell r="G401">
            <v>36.39</v>
          </cell>
        </row>
        <row r="402">
          <cell r="B402" t="str">
            <v>MIRG</v>
          </cell>
          <cell r="C402">
            <v>1710</v>
          </cell>
          <cell r="D402">
            <v>1710</v>
          </cell>
          <cell r="E402">
            <v>1745</v>
          </cell>
          <cell r="F402">
            <v>1765</v>
          </cell>
          <cell r="G402">
            <v>1810</v>
          </cell>
        </row>
        <row r="403">
          <cell r="B403" t="str">
            <v>CVH</v>
          </cell>
          <cell r="C403">
            <v>9090</v>
          </cell>
          <cell r="D403">
            <v>9140</v>
          </cell>
          <cell r="E403">
            <v>9400</v>
          </cell>
          <cell r="F403">
            <v>9270</v>
          </cell>
          <cell r="G403">
            <v>9270</v>
          </cell>
        </row>
        <row r="404">
          <cell r="B404" t="str">
            <v>TRAN</v>
          </cell>
          <cell r="C404">
            <v>2419</v>
          </cell>
          <cell r="D404">
            <v>2408</v>
          </cell>
          <cell r="E404">
            <v>2415</v>
          </cell>
          <cell r="F404">
            <v>2419</v>
          </cell>
          <cell r="G404">
            <v>2480</v>
          </cell>
        </row>
        <row r="405">
          <cell r="B405" t="str">
            <v>HARG</v>
          </cell>
          <cell r="C405">
            <v>1260</v>
          </cell>
          <cell r="D405">
            <v>1260</v>
          </cell>
          <cell r="E405">
            <v>1285</v>
          </cell>
          <cell r="F405">
            <v>1280</v>
          </cell>
          <cell r="G405">
            <v>1300</v>
          </cell>
        </row>
        <row r="406">
          <cell r="B406" t="str">
            <v>EDN</v>
          </cell>
          <cell r="C406">
            <v>1575</v>
          </cell>
          <cell r="D406">
            <v>1549</v>
          </cell>
          <cell r="E406">
            <v>1542</v>
          </cell>
          <cell r="F406">
            <v>1510</v>
          </cell>
          <cell r="G406">
            <v>1564</v>
          </cell>
        </row>
        <row r="407">
          <cell r="B407" t="str">
            <v>MASU</v>
          </cell>
          <cell r="C407">
            <v>0.01</v>
          </cell>
          <cell r="D407">
            <v>0.01</v>
          </cell>
          <cell r="E407">
            <v>0.01</v>
          </cell>
          <cell r="F407">
            <v>0.01</v>
          </cell>
          <cell r="G407">
            <v>0.01</v>
          </cell>
        </row>
        <row r="408">
          <cell r="B408" t="str">
            <v>INVJ</v>
          </cell>
          <cell r="C408">
            <v>381</v>
          </cell>
          <cell r="D408">
            <v>369</v>
          </cell>
          <cell r="E408">
            <v>374.5</v>
          </cell>
          <cell r="F408">
            <v>382</v>
          </cell>
          <cell r="G408">
            <v>384.5</v>
          </cell>
        </row>
        <row r="409">
          <cell r="B409" t="str">
            <v>IRSA</v>
          </cell>
          <cell r="C409">
            <v>2305</v>
          </cell>
          <cell r="D409">
            <v>2270</v>
          </cell>
          <cell r="E409">
            <v>2305</v>
          </cell>
          <cell r="F409">
            <v>2320</v>
          </cell>
          <cell r="G409">
            <v>2395</v>
          </cell>
        </row>
        <row r="410">
          <cell r="B410" t="str">
            <v>DGCE</v>
          </cell>
          <cell r="C410">
            <v>1850</v>
          </cell>
          <cell r="D410">
            <v>1850</v>
          </cell>
          <cell r="E410">
            <v>1850</v>
          </cell>
          <cell r="F410">
            <v>1850</v>
          </cell>
          <cell r="G410">
            <v>1850</v>
          </cell>
        </row>
        <row r="411">
          <cell r="B411" t="str">
            <v>BHIP</v>
          </cell>
          <cell r="C411">
            <v>243.5</v>
          </cell>
          <cell r="D411">
            <v>240.5</v>
          </cell>
          <cell r="E411">
            <v>241</v>
          </cell>
          <cell r="F411">
            <v>237.5</v>
          </cell>
          <cell r="G411">
            <v>248.5</v>
          </cell>
        </row>
        <row r="413">
          <cell r="B413" t="str">
            <v>Acciones en USD</v>
          </cell>
        </row>
        <row r="415">
          <cell r="B415" t="str">
            <v>YPFDD</v>
          </cell>
          <cell r="C415">
            <v>5.36</v>
          </cell>
          <cell r="D415">
            <v>5.31</v>
          </cell>
          <cell r="E415">
            <v>5.29</v>
          </cell>
          <cell r="F415">
            <v>5.2</v>
          </cell>
          <cell r="G415">
            <v>5.31</v>
          </cell>
        </row>
        <row r="416">
          <cell r="B416" t="str">
            <v>VALOD</v>
          </cell>
          <cell r="C416">
            <v>0.34399999999999997</v>
          </cell>
          <cell r="D416">
            <v>0.33700000000000002</v>
          </cell>
          <cell r="E416">
            <v>0.34200000000000003</v>
          </cell>
          <cell r="F416">
            <v>0.33400000000000002</v>
          </cell>
          <cell r="G416">
            <v>0.33600000000000002</v>
          </cell>
        </row>
        <row r="417">
          <cell r="B417" t="str">
            <v>LOMAD</v>
          </cell>
          <cell r="C417">
            <v>2.09</v>
          </cell>
          <cell r="D417">
            <v>2.0299999999999998</v>
          </cell>
          <cell r="E417">
            <v>2.0099999999999998</v>
          </cell>
          <cell r="F417">
            <v>1.9850000000000001</v>
          </cell>
          <cell r="G417">
            <v>2.0499999999999998</v>
          </cell>
        </row>
        <row r="418">
          <cell r="B418" t="str">
            <v>PAMPD</v>
          </cell>
          <cell r="C418">
            <v>3.36</v>
          </cell>
          <cell r="D418">
            <v>3.3</v>
          </cell>
          <cell r="E418">
            <v>3.2749999999999999</v>
          </cell>
          <cell r="F418">
            <v>3.2949999999999999</v>
          </cell>
          <cell r="G418">
            <v>3.3650000000000002</v>
          </cell>
        </row>
        <row r="419">
          <cell r="B419" t="str">
            <v>EDND</v>
          </cell>
          <cell r="C419">
            <v>1.02</v>
          </cell>
          <cell r="D419">
            <v>1.0049999999999999</v>
          </cell>
          <cell r="E419">
            <v>1</v>
          </cell>
          <cell r="F419">
            <v>0.97299999999999998</v>
          </cell>
          <cell r="G419">
            <v>0.997</v>
          </cell>
        </row>
        <row r="420">
          <cell r="B420" t="str">
            <v>BBARD</v>
          </cell>
          <cell r="C420">
            <v>4.45</v>
          </cell>
          <cell r="D420">
            <v>4.41</v>
          </cell>
          <cell r="E420">
            <v>4.4450000000000003</v>
          </cell>
          <cell r="F420">
            <v>4.375</v>
          </cell>
          <cell r="G420">
            <v>4.6050000000000004</v>
          </cell>
        </row>
        <row r="421">
          <cell r="B421" t="str">
            <v>GGALD</v>
          </cell>
          <cell r="C421">
            <v>3.7050000000000001</v>
          </cell>
          <cell r="D421">
            <v>3.75</v>
          </cell>
          <cell r="E421">
            <v>3.8849999999999998</v>
          </cell>
          <cell r="F421">
            <v>3.79</v>
          </cell>
          <cell r="G421">
            <v>4.04</v>
          </cell>
        </row>
        <row r="422">
          <cell r="B422" t="str">
            <v>SUPVD</v>
          </cell>
          <cell r="C422">
            <v>1.5149999999999999</v>
          </cell>
          <cell r="D422">
            <v>1.52</v>
          </cell>
          <cell r="E422">
            <v>1.57</v>
          </cell>
          <cell r="F422">
            <v>1.5349999999999999</v>
          </cell>
          <cell r="G422">
            <v>1.61</v>
          </cell>
        </row>
        <row r="424">
          <cell r="B424" t="str">
            <v>Cedears en Pesos</v>
          </cell>
        </row>
        <row r="426">
          <cell r="B426" t="str">
            <v>MELI</v>
          </cell>
          <cell r="C426">
            <v>24890</v>
          </cell>
          <cell r="D426">
            <v>25460</v>
          </cell>
          <cell r="E426">
            <v>25280</v>
          </cell>
          <cell r="F426">
            <v>24810</v>
          </cell>
          <cell r="G426">
            <v>24950</v>
          </cell>
        </row>
        <row r="427">
          <cell r="B427" t="str">
            <v>NU</v>
          </cell>
          <cell r="C427">
            <v>11810</v>
          </cell>
          <cell r="D427">
            <v>12300</v>
          </cell>
          <cell r="E427">
            <v>12340</v>
          </cell>
          <cell r="F427">
            <v>12070</v>
          </cell>
          <cell r="G427">
            <v>12530</v>
          </cell>
        </row>
        <row r="428">
          <cell r="B428" t="str">
            <v>VALE</v>
          </cell>
          <cell r="C428">
            <v>10680</v>
          </cell>
          <cell r="D428">
            <v>10630</v>
          </cell>
          <cell r="E428">
            <v>10400</v>
          </cell>
          <cell r="F428">
            <v>9995</v>
          </cell>
          <cell r="G428">
            <v>10260</v>
          </cell>
        </row>
        <row r="429">
          <cell r="B429" t="str">
            <v>BBDC3</v>
          </cell>
          <cell r="C429">
            <v>5725</v>
          </cell>
          <cell r="D429">
            <v>5960</v>
          </cell>
          <cell r="E429">
            <v>5870</v>
          </cell>
          <cell r="F429">
            <v>5800</v>
          </cell>
          <cell r="G429">
            <v>6030</v>
          </cell>
        </row>
        <row r="430">
          <cell r="B430" t="str">
            <v>VALE3</v>
          </cell>
          <cell r="C430">
            <v>21480</v>
          </cell>
          <cell r="D430">
            <v>21300</v>
          </cell>
          <cell r="E430">
            <v>20710</v>
          </cell>
          <cell r="F430">
            <v>20170</v>
          </cell>
          <cell r="G430">
            <v>20610</v>
          </cell>
        </row>
        <row r="431">
          <cell r="B431" t="str">
            <v>ITUB3</v>
          </cell>
          <cell r="C431">
            <v>16650</v>
          </cell>
          <cell r="D431">
            <v>17230</v>
          </cell>
          <cell r="E431">
            <v>17430</v>
          </cell>
          <cell r="F431">
            <v>17350</v>
          </cell>
          <cell r="G431">
            <v>18000</v>
          </cell>
        </row>
        <row r="432">
          <cell r="B432" t="str">
            <v>PETR3</v>
          </cell>
          <cell r="C432">
            <v>22260</v>
          </cell>
          <cell r="D432">
            <v>21090</v>
          </cell>
          <cell r="E432">
            <v>21340</v>
          </cell>
          <cell r="F432">
            <v>21000</v>
          </cell>
          <cell r="G432">
            <v>21810</v>
          </cell>
        </row>
        <row r="433">
          <cell r="B433" t="str">
            <v>SUZB3</v>
          </cell>
          <cell r="C433">
            <v>13840</v>
          </cell>
          <cell r="D433">
            <v>13830</v>
          </cell>
          <cell r="E433">
            <v>13920</v>
          </cell>
          <cell r="F433">
            <v>14170</v>
          </cell>
          <cell r="G433">
            <v>14230</v>
          </cell>
        </row>
        <row r="434">
          <cell r="B434" t="str">
            <v>SBSP3</v>
          </cell>
          <cell r="C434">
            <v>10310</v>
          </cell>
          <cell r="D434">
            <v>10650</v>
          </cell>
          <cell r="E434">
            <v>10520</v>
          </cell>
          <cell r="F434">
            <v>10360</v>
          </cell>
          <cell r="G434">
            <v>10650</v>
          </cell>
        </row>
        <row r="435">
          <cell r="B435" t="str">
            <v>ABEV3</v>
          </cell>
          <cell r="C435">
            <v>5280</v>
          </cell>
          <cell r="D435">
            <v>5500</v>
          </cell>
          <cell r="E435">
            <v>5385</v>
          </cell>
          <cell r="F435">
            <v>5455</v>
          </cell>
          <cell r="G435">
            <v>5470</v>
          </cell>
        </row>
        <row r="436">
          <cell r="B436" t="str">
            <v>MSFT</v>
          </cell>
          <cell r="C436">
            <v>28860</v>
          </cell>
          <cell r="D436">
            <v>28840</v>
          </cell>
          <cell r="E436">
            <v>29000</v>
          </cell>
          <cell r="F436">
            <v>28400</v>
          </cell>
          <cell r="G436">
            <v>28820</v>
          </cell>
        </row>
        <row r="437">
          <cell r="B437" t="str">
            <v>META</v>
          </cell>
          <cell r="C437">
            <v>47720</v>
          </cell>
          <cell r="D437">
            <v>47040</v>
          </cell>
          <cell r="E437">
            <v>47740</v>
          </cell>
          <cell r="F437">
            <v>44340</v>
          </cell>
          <cell r="G437">
            <v>44280</v>
          </cell>
        </row>
        <row r="438">
          <cell r="B438" t="str">
            <v>ITUB</v>
          </cell>
          <cell r="C438">
            <v>15380</v>
          </cell>
          <cell r="D438">
            <v>15870</v>
          </cell>
          <cell r="E438">
            <v>15870</v>
          </cell>
          <cell r="F438">
            <v>15590</v>
          </cell>
          <cell r="G438">
            <v>15990</v>
          </cell>
        </row>
        <row r="439">
          <cell r="B439" t="str">
            <v>PBR</v>
          </cell>
          <cell r="C439">
            <v>41480</v>
          </cell>
          <cell r="D439">
            <v>41900</v>
          </cell>
          <cell r="E439">
            <v>42020</v>
          </cell>
          <cell r="F439">
            <v>41900</v>
          </cell>
          <cell r="G439">
            <v>43300</v>
          </cell>
        </row>
        <row r="440">
          <cell r="B440" t="str">
            <v>VIST</v>
          </cell>
          <cell r="C440">
            <v>38420</v>
          </cell>
          <cell r="D440">
            <v>38460</v>
          </cell>
          <cell r="E440">
            <v>38940</v>
          </cell>
          <cell r="F440">
            <v>38600</v>
          </cell>
          <cell r="G440">
            <v>41100</v>
          </cell>
        </row>
        <row r="441">
          <cell r="B441" t="str">
            <v>PAGS</v>
          </cell>
          <cell r="C441">
            <v>6000</v>
          </cell>
          <cell r="D441">
            <v>6340</v>
          </cell>
          <cell r="E441">
            <v>6230</v>
          </cell>
          <cell r="F441">
            <v>6160</v>
          </cell>
          <cell r="G441">
            <v>6315</v>
          </cell>
        </row>
        <row r="442">
          <cell r="B442" t="str">
            <v>BBD</v>
          </cell>
          <cell r="C442">
            <v>6415</v>
          </cell>
          <cell r="D442">
            <v>6690</v>
          </cell>
          <cell r="E442">
            <v>6670</v>
          </cell>
          <cell r="F442">
            <v>6535</v>
          </cell>
          <cell r="G442">
            <v>6755</v>
          </cell>
        </row>
        <row r="443">
          <cell r="B443" t="str">
            <v>SID</v>
          </cell>
          <cell r="C443">
            <v>14870</v>
          </cell>
          <cell r="D443">
            <v>14950</v>
          </cell>
          <cell r="E443">
            <v>14450</v>
          </cell>
          <cell r="F443">
            <v>13700</v>
          </cell>
          <cell r="G443">
            <v>15490</v>
          </cell>
        </row>
        <row r="444">
          <cell r="B444" t="str">
            <v>SMH</v>
          </cell>
          <cell r="C444">
            <v>17880</v>
          </cell>
          <cell r="D444">
            <v>17810</v>
          </cell>
          <cell r="E444">
            <v>18220</v>
          </cell>
          <cell r="F444">
            <v>17170</v>
          </cell>
          <cell r="G444">
            <v>17400</v>
          </cell>
        </row>
        <row r="445">
          <cell r="B445" t="str">
            <v>GOOGL</v>
          </cell>
          <cell r="C445">
            <v>9670</v>
          </cell>
          <cell r="D445">
            <v>9550</v>
          </cell>
          <cell r="E445">
            <v>9460</v>
          </cell>
          <cell r="F445">
            <v>9135</v>
          </cell>
          <cell r="G445">
            <v>9140</v>
          </cell>
        </row>
        <row r="447">
          <cell r="B447" t="str">
            <v>Cedears en USD</v>
          </cell>
        </row>
        <row r="449">
          <cell r="B449" t="str">
            <v>VALED</v>
          </cell>
          <cell r="C449">
            <v>6.94</v>
          </cell>
          <cell r="D449">
            <v>6.93</v>
          </cell>
          <cell r="E449">
            <v>6.73</v>
          </cell>
          <cell r="F449">
            <v>6.45</v>
          </cell>
          <cell r="G449">
            <v>6.62</v>
          </cell>
        </row>
        <row r="450">
          <cell r="B450" t="str">
            <v>PBRD</v>
          </cell>
          <cell r="C450">
            <v>26.97</v>
          </cell>
          <cell r="D450">
            <v>27.06</v>
          </cell>
          <cell r="E450">
            <v>27.19</v>
          </cell>
          <cell r="F450">
            <v>26.9</v>
          </cell>
          <cell r="G450">
            <v>27.76</v>
          </cell>
        </row>
        <row r="451">
          <cell r="B451" t="str">
            <v>PAGSD</v>
          </cell>
          <cell r="C451">
            <v>3.9</v>
          </cell>
          <cell r="D451">
            <v>4.1050000000000004</v>
          </cell>
          <cell r="E451">
            <v>4.04</v>
          </cell>
          <cell r="F451">
            <v>4</v>
          </cell>
          <cell r="G451">
            <v>4.0949999999999998</v>
          </cell>
        </row>
        <row r="452">
          <cell r="B452" t="str">
            <v>VISTD</v>
          </cell>
          <cell r="C452">
            <v>24.94</v>
          </cell>
          <cell r="D452">
            <v>24.9</v>
          </cell>
          <cell r="E452">
            <v>25.19</v>
          </cell>
          <cell r="F452">
            <v>25.02</v>
          </cell>
          <cell r="G452">
            <v>26.29</v>
          </cell>
        </row>
        <row r="453">
          <cell r="B453" t="str">
            <v>BBDD</v>
          </cell>
          <cell r="C453">
            <v>4.1749999999999998</v>
          </cell>
          <cell r="D453">
            <v>4.34</v>
          </cell>
          <cell r="E453">
            <v>4.32</v>
          </cell>
          <cell r="F453">
            <v>4.29</v>
          </cell>
          <cell r="G453">
            <v>4.3650000000000002</v>
          </cell>
        </row>
        <row r="454">
          <cell r="B454" t="str">
            <v>SIDD</v>
          </cell>
          <cell r="C454">
            <v>9.65</v>
          </cell>
          <cell r="D454">
            <v>9.65</v>
          </cell>
          <cell r="E454">
            <v>9.48</v>
          </cell>
          <cell r="F454">
            <v>9.0399999999999991</v>
          </cell>
          <cell r="G454">
            <v>10.17</v>
          </cell>
        </row>
        <row r="456">
          <cell r="B456" t="str">
            <v>ADR</v>
          </cell>
        </row>
        <row r="458">
          <cell r="B458" t="str">
            <v>BBD US</v>
          </cell>
          <cell r="C458">
            <v>3.94</v>
          </cell>
          <cell r="D458">
            <v>4.08</v>
          </cell>
          <cell r="E458">
            <v>4.05</v>
          </cell>
          <cell r="F458">
            <v>3.95</v>
          </cell>
          <cell r="G458">
            <v>4.07</v>
          </cell>
        </row>
        <row r="459">
          <cell r="B459" t="str">
            <v>PAGS US</v>
          </cell>
          <cell r="C459">
            <v>11.13</v>
          </cell>
          <cell r="D459">
            <v>11.72</v>
          </cell>
          <cell r="E459">
            <v>11.44</v>
          </cell>
          <cell r="F459">
            <v>11.28</v>
          </cell>
          <cell r="G459">
            <v>11.44</v>
          </cell>
        </row>
        <row r="460">
          <cell r="B460" t="str">
            <v>NIO US</v>
          </cell>
          <cell r="C460">
            <v>3.39</v>
          </cell>
          <cell r="D460">
            <v>3.43</v>
          </cell>
          <cell r="E460">
            <v>3.36</v>
          </cell>
          <cell r="F460">
            <v>3.31</v>
          </cell>
          <cell r="G460">
            <v>3.29</v>
          </cell>
        </row>
        <row r="461">
          <cell r="B461" t="str">
            <v>JD US</v>
          </cell>
          <cell r="C461">
            <v>26.78</v>
          </cell>
          <cell r="D461">
            <v>26.76</v>
          </cell>
          <cell r="E461">
            <v>25.79</v>
          </cell>
          <cell r="F461">
            <v>25.68</v>
          </cell>
          <cell r="G461">
            <v>25.36</v>
          </cell>
        </row>
        <row r="462">
          <cell r="B462" t="str">
            <v>BDORY US</v>
          </cell>
          <cell r="C462">
            <v>4.79</v>
          </cell>
          <cell r="D462">
            <v>4.9000000000000004</v>
          </cell>
          <cell r="E462">
            <v>4.8730000000000002</v>
          </cell>
          <cell r="F462">
            <v>4.8</v>
          </cell>
          <cell r="G462">
            <v>5.0629999999999997</v>
          </cell>
        </row>
        <row r="463">
          <cell r="B463" t="str">
            <v>GGAL US</v>
          </cell>
          <cell r="C463">
            <v>35.090000000000003</v>
          </cell>
          <cell r="D463">
            <v>35.46</v>
          </cell>
          <cell r="E463">
            <v>36.82</v>
          </cell>
          <cell r="F463">
            <v>36.119999999999997</v>
          </cell>
          <cell r="G463">
            <v>37.909999999999997</v>
          </cell>
        </row>
        <row r="464">
          <cell r="B464" t="str">
            <v>VALE US</v>
          </cell>
          <cell r="C464">
            <v>13.11</v>
          </cell>
          <cell r="D464">
            <v>13.02</v>
          </cell>
          <cell r="E464">
            <v>12.7</v>
          </cell>
          <cell r="F464">
            <v>12.2</v>
          </cell>
          <cell r="G464">
            <v>12.4</v>
          </cell>
        </row>
        <row r="465">
          <cell r="B465" t="str">
            <v>PBR US</v>
          </cell>
          <cell r="C465">
            <v>25.56</v>
          </cell>
          <cell r="D465">
            <v>25.7</v>
          </cell>
          <cell r="E465">
            <v>25.66</v>
          </cell>
          <cell r="F465">
            <v>25.62</v>
          </cell>
          <cell r="G465">
            <v>26.16</v>
          </cell>
        </row>
        <row r="466">
          <cell r="B466" t="str">
            <v>VIST US</v>
          </cell>
          <cell r="C466">
            <v>70.86</v>
          </cell>
          <cell r="D466">
            <v>70.66</v>
          </cell>
          <cell r="E466">
            <v>71.44</v>
          </cell>
          <cell r="F466">
            <v>70.61</v>
          </cell>
          <cell r="G466">
            <v>74.84</v>
          </cell>
        </row>
        <row r="467">
          <cell r="B467" t="str">
            <v>AMD US</v>
          </cell>
          <cell r="C467">
            <v>538.04999999999995</v>
          </cell>
          <cell r="D467">
            <v>534.74</v>
          </cell>
          <cell r="E467">
            <v>552.72</v>
          </cell>
          <cell r="F467">
            <v>507.93</v>
          </cell>
          <cell r="G467">
            <v>516.79</v>
          </cell>
        </row>
        <row r="468">
          <cell r="B468" t="str">
            <v>SID US</v>
          </cell>
          <cell r="C468">
            <v>1.1299999999999999</v>
          </cell>
          <cell r="D468">
            <v>1.1599999999999999</v>
          </cell>
          <cell r="E468">
            <v>1.1000000000000001</v>
          </cell>
          <cell r="F468">
            <v>1.04</v>
          </cell>
          <cell r="G468">
            <v>1.18</v>
          </cell>
        </row>
        <row r="469">
          <cell r="B469" t="str">
            <v>MSFT US</v>
          </cell>
          <cell r="C469">
            <v>533.52</v>
          </cell>
          <cell r="D469">
            <v>531.87</v>
          </cell>
          <cell r="E469">
            <v>532.95000000000005</v>
          </cell>
          <cell r="F469">
            <v>521.08000000000004</v>
          </cell>
          <cell r="G469">
            <v>524.51</v>
          </cell>
        </row>
        <row r="470">
          <cell r="B470" t="str">
            <v>NU US</v>
          </cell>
          <cell r="C470">
            <v>14.51</v>
          </cell>
          <cell r="D470">
            <v>15.09</v>
          </cell>
          <cell r="E470">
            <v>15.05</v>
          </cell>
          <cell r="F470">
            <v>14.73</v>
          </cell>
          <cell r="G470">
            <v>15.16</v>
          </cell>
        </row>
        <row r="471">
          <cell r="B471" t="str">
            <v>YPF US</v>
          </cell>
          <cell r="C471">
            <v>50.69</v>
          </cell>
          <cell r="D471">
            <v>50.78</v>
          </cell>
          <cell r="E471">
            <v>50.37</v>
          </cell>
          <cell r="F471">
            <v>49.17</v>
          </cell>
          <cell r="G471">
            <v>50.68</v>
          </cell>
        </row>
        <row r="472">
          <cell r="B472" t="str">
            <v>TSLA US</v>
          </cell>
          <cell r="C472">
            <v>368.06</v>
          </cell>
          <cell r="D472">
            <v>373.71</v>
          </cell>
          <cell r="E472">
            <v>386.47</v>
          </cell>
          <cell r="F472">
            <v>374.58</v>
          </cell>
          <cell r="G472">
            <v>372.22</v>
          </cell>
        </row>
        <row r="474">
          <cell r="B474" t="str">
            <v>ETF</v>
          </cell>
        </row>
        <row r="476">
          <cell r="B476" t="str">
            <v>EWZ US</v>
          </cell>
          <cell r="C476">
            <v>41.93</v>
          </cell>
          <cell r="D476">
            <v>42.94</v>
          </cell>
          <cell r="E476">
            <v>42.51</v>
          </cell>
          <cell r="F476">
            <v>41.85</v>
          </cell>
          <cell r="G476">
            <v>42.59</v>
          </cell>
        </row>
        <row r="477">
          <cell r="B477" t="str">
            <v>FLRN US</v>
          </cell>
          <cell r="C477">
            <v>30.8</v>
          </cell>
          <cell r="D477">
            <v>30.79</v>
          </cell>
          <cell r="E477">
            <v>30.8</v>
          </cell>
          <cell r="F477">
            <v>30.8</v>
          </cell>
          <cell r="G477">
            <v>30.81</v>
          </cell>
        </row>
        <row r="478">
          <cell r="B478" t="str">
            <v>SDIA LN</v>
          </cell>
          <cell r="C478">
            <v>6.3559999999999999</v>
          </cell>
          <cell r="D478">
            <v>6.383</v>
          </cell>
          <cell r="E478">
            <v>6.3689999999999998</v>
          </cell>
          <cell r="F478">
            <v>6.3929999999999998</v>
          </cell>
          <cell r="G478">
            <v>6.3680000000000003</v>
          </cell>
        </row>
        <row r="479">
          <cell r="B479" t="str">
            <v>EMCA LN</v>
          </cell>
          <cell r="C479">
            <v>6.6859999999999999</v>
          </cell>
          <cell r="D479">
            <v>6.6950000000000003</v>
          </cell>
          <cell r="E479">
            <v>6.69</v>
          </cell>
          <cell r="F479">
            <v>6.69</v>
          </cell>
          <cell r="G479">
            <v>6.6760000000000002</v>
          </cell>
        </row>
        <row r="480">
          <cell r="B480" t="str">
            <v>IGV US</v>
          </cell>
          <cell r="C480">
            <v>105.99</v>
          </cell>
          <cell r="D480">
            <v>106.93</v>
          </cell>
          <cell r="E480">
            <v>108.82</v>
          </cell>
          <cell r="F480">
            <v>108.72</v>
          </cell>
          <cell r="G480">
            <v>110.59</v>
          </cell>
        </row>
        <row r="482">
          <cell r="B482" t="str">
            <v>Funds</v>
          </cell>
        </row>
        <row r="484">
          <cell r="B484" t="str">
            <v>MUHYIU1 LX</v>
          </cell>
          <cell r="C484">
            <v>293.94</v>
          </cell>
          <cell r="D484">
            <v>293.67</v>
          </cell>
          <cell r="E484">
            <v>293.43</v>
          </cell>
          <cell r="F484">
            <v>293.79000000000002</v>
          </cell>
          <cell r="G484">
            <v>293.72000000000003</v>
          </cell>
        </row>
        <row r="485">
          <cell r="B485" t="str">
            <v>MGCIF1U LX</v>
          </cell>
          <cell r="C485">
            <v>152.81</v>
          </cell>
          <cell r="D485">
            <v>152.19</v>
          </cell>
          <cell r="E485">
            <v>152.52000000000001</v>
          </cell>
          <cell r="F485">
            <v>152.47</v>
          </cell>
          <cell r="G485">
            <v>153.07</v>
          </cell>
        </row>
        <row r="487">
          <cell r="B487" t="str">
            <v>Latam</v>
          </cell>
        </row>
        <row r="489">
          <cell r="B489" t="str">
            <v>CH27</v>
          </cell>
          <cell r="C489">
            <v>1.0005761111111111</v>
          </cell>
          <cell r="D489">
            <v>1.0006325</v>
          </cell>
          <cell r="E489">
            <v>1.0010138888888889</v>
          </cell>
          <cell r="F489">
            <v>1.0015552777777779</v>
          </cell>
          <cell r="G489">
            <v>1.0018294444444444</v>
          </cell>
        </row>
        <row r="490">
          <cell r="B490" t="str">
            <v>CH28</v>
          </cell>
          <cell r="C490">
            <v>0.98325999999999991</v>
          </cell>
          <cell r="D490">
            <v>0.9834099999999999</v>
          </cell>
          <cell r="E490">
            <v>0.98342999999999992</v>
          </cell>
          <cell r="F490">
            <v>0.98502499999999993</v>
          </cell>
          <cell r="G490">
            <v>0.984765</v>
          </cell>
        </row>
        <row r="491">
          <cell r="B491" t="str">
            <v>BR27</v>
          </cell>
          <cell r="C491">
            <v>1.0727037500000001</v>
          </cell>
          <cell r="D491">
            <v>1.07172</v>
          </cell>
          <cell r="E491">
            <v>1.0716512499999999</v>
          </cell>
          <cell r="F491">
            <v>1.0720775</v>
          </cell>
          <cell r="G491">
            <v>1.0722512500000001</v>
          </cell>
        </row>
        <row r="492">
          <cell r="B492" t="str">
            <v>BR28</v>
          </cell>
          <cell r="C492">
            <v>1.0088068055555555</v>
          </cell>
          <cell r="D492">
            <v>1.0089702777777778</v>
          </cell>
          <cell r="E492">
            <v>1.00910875</v>
          </cell>
          <cell r="F492">
            <v>1.0095122222222224</v>
          </cell>
          <cell r="G492">
            <v>1.0100726388888888</v>
          </cell>
        </row>
        <row r="493">
          <cell r="B493" t="str">
            <v>CDEL27</v>
          </cell>
          <cell r="C493">
            <v>0.99617986111111123</v>
          </cell>
          <cell r="D493">
            <v>0.99683555555555559</v>
          </cell>
          <cell r="E493">
            <v>0.99669124999999992</v>
          </cell>
          <cell r="F493">
            <v>0.99692694444444441</v>
          </cell>
          <cell r="G493">
            <v>0.99689902777777772</v>
          </cell>
        </row>
        <row r="495">
          <cell r="B495" t="str">
            <v>Futuros</v>
          </cell>
        </row>
        <row r="497">
          <cell r="B497" t="str">
            <v>FUTDLR102026</v>
          </cell>
          <cell r="C497">
            <v>1534</v>
          </cell>
          <cell r="D497">
            <v>1533.5</v>
          </cell>
          <cell r="E497">
            <v>1533</v>
          </cell>
          <cell r="F497">
            <v>1533.5</v>
          </cell>
          <cell r="G497">
            <v>1535</v>
          </cell>
        </row>
        <row r="499">
          <cell r="B499" t="str">
            <v>Futuros Soja</v>
          </cell>
        </row>
        <row r="501">
          <cell r="B501" t="str">
            <v>FUTDLRMM1126</v>
          </cell>
          <cell r="C501">
            <v>558306.52890000003</v>
          </cell>
          <cell r="D501">
            <v>556566.63649999991</v>
          </cell>
          <cell r="E501">
            <v>556927.90272000001</v>
          </cell>
          <cell r="F501">
            <v>558887.93238000001</v>
          </cell>
          <cell r="G501">
            <v>560719.69469999999</v>
          </cell>
        </row>
        <row r="502">
          <cell r="B502" t="str">
            <v>FUTDLRMM0527</v>
          </cell>
          <cell r="C502">
            <v>536522.67252000002</v>
          </cell>
          <cell r="D502">
            <v>538726.00732999993</v>
          </cell>
          <cell r="E502">
            <v>539371.23912000004</v>
          </cell>
          <cell r="F502">
            <v>540553.71918000001</v>
          </cell>
          <cell r="G502">
            <v>543755.9754</v>
          </cell>
        </row>
        <row r="503">
          <cell r="B503" t="str">
            <v>FUTARSSRO1126</v>
          </cell>
          <cell r="C503">
            <v>558306.52890000003</v>
          </cell>
          <cell r="D503">
            <v>556566.63649999991</v>
          </cell>
          <cell r="E503">
            <v>556927.90272000001</v>
          </cell>
          <cell r="F503">
            <v>558887.93238000001</v>
          </cell>
          <cell r="G503">
            <v>560719.69469999999</v>
          </cell>
        </row>
        <row r="504">
          <cell r="B504" t="str">
            <v>FUTARSSRO0127</v>
          </cell>
          <cell r="C504">
            <v>565770.92723999999</v>
          </cell>
          <cell r="D504">
            <v>564190.83699999994</v>
          </cell>
          <cell r="E504">
            <v>565629.90120000008</v>
          </cell>
          <cell r="F504">
            <v>568207.82409000001</v>
          </cell>
          <cell r="G504">
            <v>570500.57790000003</v>
          </cell>
        </row>
        <row r="505">
          <cell r="B505" t="str">
            <v>FUTARSSRO0527</v>
          </cell>
          <cell r="C505">
            <v>536522.67252000002</v>
          </cell>
          <cell r="D505">
            <v>538726.00732999993</v>
          </cell>
          <cell r="E505">
            <v>539371.23912000004</v>
          </cell>
          <cell r="F505">
            <v>540553.71918000001</v>
          </cell>
          <cell r="G505">
            <v>543755.9754</v>
          </cell>
        </row>
        <row r="507">
          <cell r="B507" t="str">
            <v>Treasury</v>
          </cell>
        </row>
        <row r="509">
          <cell r="B509" t="str">
            <v>US27102026</v>
          </cell>
          <cell r="C509">
            <v>0.99927905985570131</v>
          </cell>
          <cell r="D509">
            <v>0.99938392498787454</v>
          </cell>
          <cell r="E509">
            <v>0.99948323978193021</v>
          </cell>
          <cell r="F509">
            <v>0.99959158604819021</v>
          </cell>
          <cell r="G509">
            <v>0.99968929656662708</v>
          </cell>
        </row>
        <row r="510">
          <cell r="B510" t="str">
            <v>US03112026</v>
          </cell>
          <cell r="C510">
            <v>0.99852810391818214</v>
          </cell>
          <cell r="D510">
            <v>0.99863195903144397</v>
          </cell>
          <cell r="E510">
            <v>0.99873774871661924</v>
          </cell>
          <cell r="F510">
            <v>0.99884537032721621</v>
          </cell>
          <cell r="G510">
            <v>0.998946562954666</v>
          </cell>
        </row>
        <row r="511">
          <cell r="B511" t="str">
            <v>US19112026</v>
          </cell>
          <cell r="C511">
            <v>0.996800924463218</v>
          </cell>
          <cell r="D511">
            <v>0.99690359830496555</v>
          </cell>
          <cell r="E511">
            <v>0.99700608632608601</v>
          </cell>
          <cell r="F511">
            <v>0.99714035717343574</v>
          </cell>
          <cell r="G511">
            <v>0.99723776068922076</v>
          </cell>
        </row>
        <row r="512">
          <cell r="B512" t="str">
            <v>US01122026</v>
          </cell>
          <cell r="C512">
            <v>0.99547900889869856</v>
          </cell>
          <cell r="D512">
            <v>0.99557504261715801</v>
          </cell>
          <cell r="E512">
            <v>0.9956959745730346</v>
          </cell>
          <cell r="F512">
            <v>0.99581753361959124</v>
          </cell>
          <cell r="G512">
            <v>0.99593373625556192</v>
          </cell>
        </row>
        <row r="513">
          <cell r="B513" t="str">
            <v>US10122026</v>
          </cell>
          <cell r="C513">
            <v>0.99452535047434365</v>
          </cell>
          <cell r="D513">
            <v>0.99462507335359918</v>
          </cell>
          <cell r="E513">
            <v>0.99473373245430041</v>
          </cell>
          <cell r="F513">
            <v>0.9948588746077911</v>
          </cell>
          <cell r="G513">
            <v>0.99496187289747517</v>
          </cell>
        </row>
        <row r="515">
          <cell r="B515" t="str">
            <v>Pagare $</v>
          </cell>
        </row>
        <row r="517">
          <cell r="B517" t="str">
            <v>#MAV150270009</v>
          </cell>
          <cell r="C517">
            <v>0.91361918349978732</v>
          </cell>
          <cell r="D517">
            <v>0.91428285156054312</v>
          </cell>
          <cell r="E517">
            <v>0.91494748452109387</v>
          </cell>
          <cell r="F517">
            <v>0.91561308448725665</v>
          </cell>
          <cell r="G517">
            <v>0.91761570756970112</v>
          </cell>
        </row>
        <row r="518">
          <cell r="B518" t="str">
            <v>#MAV150270010</v>
          </cell>
          <cell r="C518">
            <v>0.91361918349978732</v>
          </cell>
          <cell r="D518">
            <v>0.91428285156054312</v>
          </cell>
          <cell r="E518">
            <v>0.91494748452109387</v>
          </cell>
          <cell r="F518">
            <v>0.91561308448725665</v>
          </cell>
          <cell r="G518">
            <v>0.91761570756970112</v>
          </cell>
        </row>
        <row r="519">
          <cell r="B519" t="str">
            <v>#MAV101260047</v>
          </cell>
          <cell r="C519">
            <v>0.96315725587262035</v>
          </cell>
          <cell r="D519">
            <v>0.96384015041187665</v>
          </cell>
          <cell r="E519">
            <v>0.9645240140054171</v>
          </cell>
          <cell r="F519">
            <v>0.96520884871739621</v>
          </cell>
          <cell r="G519">
            <v>0.96726920029362584</v>
          </cell>
        </row>
        <row r="521">
          <cell r="B521" t="str">
            <v>Pagarés USD</v>
          </cell>
        </row>
        <row r="523">
          <cell r="B523" t="str">
            <v>#UMV130170010</v>
          </cell>
          <cell r="C523">
            <v>1495.3668522804135</v>
          </cell>
          <cell r="D523">
            <v>1497.1489962367284</v>
          </cell>
          <cell r="E523">
            <v>1499.2587183609228</v>
          </cell>
          <cell r="F523">
            <v>1500.7391171547442</v>
          </cell>
          <cell r="G523">
            <v>1502.0956703562731</v>
          </cell>
        </row>
        <row r="524">
          <cell r="B524" t="str">
            <v>#UMV130170012</v>
          </cell>
          <cell r="C524">
            <v>1495.3668522804135</v>
          </cell>
          <cell r="D524">
            <v>1497.1489962367284</v>
          </cell>
          <cell r="E524">
            <v>1499.2587183609228</v>
          </cell>
          <cell r="F524">
            <v>1500.7391171547442</v>
          </cell>
          <cell r="G524">
            <v>1502.0956703562731</v>
          </cell>
        </row>
        <row r="525">
          <cell r="B525" t="str">
            <v>#UMV150270056</v>
          </cell>
          <cell r="C525">
            <v>1485.6438092998774</v>
          </cell>
          <cell r="D525">
            <v>1487.4123233324738</v>
          </cell>
          <cell r="E525">
            <v>1489.5062789690624</v>
          </cell>
          <cell r="F525">
            <v>1490.9749991645001</v>
          </cell>
          <cell r="G525">
            <v>1492.3165691079528</v>
          </cell>
        </row>
        <row r="526">
          <cell r="B526" t="str">
            <v>#UMV150270055</v>
          </cell>
          <cell r="C526">
            <v>1485.6438092998774</v>
          </cell>
          <cell r="D526">
            <v>1487.4123233324738</v>
          </cell>
          <cell r="E526">
            <v>1489.5062789690624</v>
          </cell>
          <cell r="F526">
            <v>1490.9749991645001</v>
          </cell>
          <cell r="G526">
            <v>1492.3165691079528</v>
          </cell>
        </row>
        <row r="527">
          <cell r="B527" t="str">
            <v>#UMV150370062</v>
          </cell>
          <cell r="C527">
            <v>1476.9697498545665</v>
          </cell>
          <cell r="D527">
            <v>1478.7261270117499</v>
          </cell>
          <cell r="E527">
            <v>1480.8060397976108</v>
          </cell>
          <cell r="F527">
            <v>1482.2643640582578</v>
          </cell>
          <cell r="G527">
            <v>1483.5926354424319</v>
          </cell>
        </row>
        <row r="528">
          <cell r="B528" t="str">
            <v>#UMV150370061</v>
          </cell>
          <cell r="C528">
            <v>1476.9697498545665</v>
          </cell>
          <cell r="D528">
            <v>1478.7261270117499</v>
          </cell>
          <cell r="E528">
            <v>1480.8060397976108</v>
          </cell>
          <cell r="F528">
            <v>1482.2643640582578</v>
          </cell>
          <cell r="G528">
            <v>1483.5926354424319</v>
          </cell>
        </row>
        <row r="529">
          <cell r="B529" t="str">
            <v>#UMV150170072</v>
          </cell>
          <cell r="C529">
            <v>1494.1051207397147</v>
          </cell>
          <cell r="D529">
            <v>1495.8854944700522</v>
          </cell>
          <cell r="E529">
            <v>1497.9931691069435</v>
          </cell>
          <cell r="F529">
            <v>1499.4720508835519</v>
          </cell>
          <cell r="G529">
            <v>1500.8266551870263</v>
          </cell>
        </row>
        <row r="530">
          <cell r="B530" t="str">
            <v>#UMV150170073</v>
          </cell>
          <cell r="C530">
            <v>1494.1051207397147</v>
          </cell>
          <cell r="D530">
            <v>1495.8854944700522</v>
          </cell>
          <cell r="E530">
            <v>1497.9931691069435</v>
          </cell>
          <cell r="F530">
            <v>1499.4720508835519</v>
          </cell>
          <cell r="G530">
            <v>1500.8266551870263</v>
          </cell>
        </row>
        <row r="531">
          <cell r="B531" t="str">
            <v>#UMV150370068</v>
          </cell>
          <cell r="C531">
            <v>1476.9697498545665</v>
          </cell>
          <cell r="D531">
            <v>1478.7261270117499</v>
          </cell>
          <cell r="E531">
            <v>1480.8060397976108</v>
          </cell>
          <cell r="F531">
            <v>1482.2643640582578</v>
          </cell>
          <cell r="G531">
            <v>1483.5926354424319</v>
          </cell>
        </row>
        <row r="532">
          <cell r="B532" t="str">
            <v>#UMV150370069</v>
          </cell>
          <cell r="C532">
            <v>1476.9697498545665</v>
          </cell>
          <cell r="D532">
            <v>1478.7261270117499</v>
          </cell>
          <cell r="E532">
            <v>1480.8060397976108</v>
          </cell>
          <cell r="F532">
            <v>1482.2643640582578</v>
          </cell>
          <cell r="G532">
            <v>1483.5926354424319</v>
          </cell>
        </row>
        <row r="533">
          <cell r="B533" t="str">
            <v>#UMV080470014</v>
          </cell>
          <cell r="C533">
            <v>1469.6150576854459</v>
          </cell>
          <cell r="D533">
            <v>1471.361160716056</v>
          </cell>
          <cell r="E533">
            <v>1473.4291833691179</v>
          </cell>
          <cell r="F533">
            <v>1474.8787097388456</v>
          </cell>
          <cell r="G533">
            <v>1476.1957557280996</v>
          </cell>
        </row>
        <row r="534">
          <cell r="B534" t="str">
            <v>#UMV110270016</v>
          </cell>
          <cell r="C534">
            <v>1486.8912846404189</v>
          </cell>
          <cell r="D534">
            <v>1488.6615459096131</v>
          </cell>
          <cell r="E534">
            <v>1490.7575229004365</v>
          </cell>
          <cell r="F534">
            <v>1492.2277399665788</v>
          </cell>
          <cell r="G534">
            <v>1493.5712277563873</v>
          </cell>
        </row>
        <row r="535">
          <cell r="B535" t="str">
            <v>#UMV150470068</v>
          </cell>
          <cell r="C535">
            <v>1467.4837164434955</v>
          </cell>
          <cell r="D535">
            <v>1469.2268449590301</v>
          </cell>
          <cell r="E535">
            <v>1471.2914247994984</v>
          </cell>
          <cell r="F535">
            <v>1472.7384044747387</v>
          </cell>
          <cell r="G535">
            <v>1474.0522060601413</v>
          </cell>
        </row>
        <row r="536">
          <cell r="B536" t="str">
            <v>#UMV250270018</v>
          </cell>
          <cell r="C536">
            <v>1482.5342596147693</v>
          </cell>
          <cell r="D536">
            <v>1484.2984202715154</v>
          </cell>
          <cell r="E536">
            <v>1486.3873392532764</v>
          </cell>
          <cell r="F536">
            <v>1487.8523301650825</v>
          </cell>
          <cell r="G536">
            <v>1489.1891253333758</v>
          </cell>
        </row>
        <row r="537">
          <cell r="B537" t="str">
            <v>#UMV290370010</v>
          </cell>
          <cell r="C537">
            <v>1472.6705927534697</v>
          </cell>
          <cell r="D537">
            <v>1474.4209623517972</v>
          </cell>
          <cell r="E537">
            <v>1476.4939229417892</v>
          </cell>
          <cell r="F537">
            <v>1477.9471025602631</v>
          </cell>
          <cell r="G537">
            <v>1479.2688065682107</v>
          </cell>
        </row>
        <row r="538">
          <cell r="B538" t="str">
            <v>#UMV040370018</v>
          </cell>
          <cell r="C538">
            <v>1480.3653086082845</v>
          </cell>
          <cell r="D538">
            <v>1482.1264343481953</v>
          </cell>
          <cell r="E538">
            <v>1484.2118418231385</v>
          </cell>
          <cell r="F538">
            <v>1485.6742331402754</v>
          </cell>
          <cell r="G538">
            <v>1487.0077027349439</v>
          </cell>
        </row>
        <row r="539">
          <cell r="B539" t="str">
            <v>#UMV110370016</v>
          </cell>
          <cell r="C539">
            <v>1478.2026946911715</v>
          </cell>
          <cell r="D539">
            <v>1479.9607957061012</v>
          </cell>
          <cell r="E539">
            <v>1482.0427032633847</v>
          </cell>
          <cell r="F539">
            <v>1483.5025039138202</v>
          </cell>
          <cell r="G539">
            <v>1484.8326616552561</v>
          </cell>
        </row>
        <row r="540">
          <cell r="B540" t="str">
            <v>#UMV210170045</v>
          </cell>
          <cell r="C540">
            <v>1493.4750530821207</v>
          </cell>
          <cell r="D540">
            <v>1495.2545429877869</v>
          </cell>
          <cell r="E540">
            <v>1497.361195345344</v>
          </cell>
          <cell r="F540">
            <v>1498.8393197425182</v>
          </cell>
          <cell r="G540">
            <v>1500.1929513392561</v>
          </cell>
        </row>
        <row r="541">
          <cell r="B541" t="str">
            <v>#UMV280170011</v>
          </cell>
          <cell r="C541">
            <v>1491.273994904117</v>
          </cell>
          <cell r="D541">
            <v>1493.0503981661689</v>
          </cell>
          <cell r="E541">
            <v>1495.1534802102535</v>
          </cell>
          <cell r="F541">
            <v>1496.628959688901</v>
          </cell>
          <cell r="G541">
            <v>1497.9791959267304</v>
          </cell>
        </row>
        <row r="542">
          <cell r="B542" t="str">
            <v>#UMV070170014</v>
          </cell>
          <cell r="C542">
            <v>1497.8967191673526</v>
          </cell>
          <cell r="D542">
            <v>1499.6824139166797</v>
          </cell>
          <cell r="E542">
            <v>1501.7962427687246</v>
          </cell>
          <cell r="F542">
            <v>1503.2796846611282</v>
          </cell>
          <cell r="G542">
            <v>1504.6401496504873</v>
          </cell>
        </row>
        <row r="543">
          <cell r="B543" t="str">
            <v>#UMV010670037</v>
          </cell>
          <cell r="C543">
            <v>1452.7356854896655</v>
          </cell>
          <cell r="D543">
            <v>1454.4582667494201</v>
          </cell>
          <cell r="E543">
            <v>1456.4990590301738</v>
          </cell>
          <cell r="F543">
            <v>1457.9284520091867</v>
          </cell>
          <cell r="G543">
            <v>1459.2199100112484</v>
          </cell>
        </row>
        <row r="544">
          <cell r="B544" t="str">
            <v>#UMV290670004</v>
          </cell>
          <cell r="C544">
            <v>1444.4405711034735</v>
          </cell>
          <cell r="D544">
            <v>1446.1516224709992</v>
          </cell>
          <cell r="E544">
            <v>1448.1790624301552</v>
          </cell>
          <cell r="F544">
            <v>1449.5985908628334</v>
          </cell>
          <cell r="G544">
            <v>1450.8775632822494</v>
          </cell>
        </row>
        <row r="545">
          <cell r="B545" t="str">
            <v>#UMV150470071</v>
          </cell>
          <cell r="C545">
            <v>1466.2685804774947</v>
          </cell>
          <cell r="D545">
            <v>1468.0100137156119</v>
          </cell>
          <cell r="E545">
            <v>1470.0726312915265</v>
          </cell>
          <cell r="F545">
            <v>1471.5181596050379</v>
          </cell>
          <cell r="G545">
            <v>1472.8301132050563</v>
          </cell>
        </row>
        <row r="546">
          <cell r="B546" t="str">
            <v>#UMV040570009</v>
          </cell>
          <cell r="C546">
            <v>1461.1266243236637</v>
          </cell>
          <cell r="D546">
            <v>1462.860888466598</v>
          </cell>
          <cell r="E546">
            <v>1464.9152071842811</v>
          </cell>
          <cell r="F546">
            <v>1466.354598581411</v>
          </cell>
          <cell r="G546">
            <v>1467.6587462375549</v>
          </cell>
        </row>
        <row r="547">
          <cell r="B547" t="str">
            <v>#UMV140170021</v>
          </cell>
          <cell r="C547">
            <v>1494.4203539704085</v>
          </cell>
          <cell r="D547">
            <v>1496.2011699349302</v>
          </cell>
          <cell r="E547">
            <v>1498.3093560773095</v>
          </cell>
          <cell r="F547">
            <v>1499.7886168257226</v>
          </cell>
          <cell r="G547">
            <v>1501.1437079177811</v>
          </cell>
        </row>
        <row r="548">
          <cell r="B548" t="str">
            <v>#UMV200470019</v>
          </cell>
          <cell r="C548">
            <v>1465.9651108527314</v>
          </cell>
          <cell r="D548">
            <v>1467.7061207752463</v>
          </cell>
          <cell r="E548">
            <v>1469.7682483580829</v>
          </cell>
          <cell r="F548">
            <v>1471.2134142722032</v>
          </cell>
          <cell r="G548">
            <v>1472.5249065509377</v>
          </cell>
        </row>
        <row r="549">
          <cell r="B549" t="str">
            <v>#UMV200470018</v>
          </cell>
          <cell r="C549">
            <v>1465.9651108527314</v>
          </cell>
          <cell r="D549">
            <v>1467.7061207752463</v>
          </cell>
          <cell r="E549">
            <v>1469.7682483580829</v>
          </cell>
          <cell r="F549">
            <v>1471.2134142722032</v>
          </cell>
          <cell r="G549">
            <v>1472.5249065509377</v>
          </cell>
        </row>
        <row r="550">
          <cell r="B550" t="str">
            <v>#UMV200470017</v>
          </cell>
          <cell r="C550">
            <v>1465.9651108527314</v>
          </cell>
          <cell r="D550">
            <v>1467.7061207752463</v>
          </cell>
          <cell r="E550">
            <v>1469.7682483580829</v>
          </cell>
          <cell r="F550">
            <v>1471.2134142722032</v>
          </cell>
          <cell r="G550">
            <v>1472.5249065509377</v>
          </cell>
        </row>
        <row r="551">
          <cell r="B551" t="str">
            <v>#UMV200470016</v>
          </cell>
          <cell r="C551">
            <v>1465.9651108527314</v>
          </cell>
          <cell r="D551">
            <v>1467.7061207752463</v>
          </cell>
          <cell r="E551">
            <v>1469.7682483580829</v>
          </cell>
          <cell r="F551">
            <v>1471.2134142722032</v>
          </cell>
          <cell r="G551">
            <v>1472.5249065509377</v>
          </cell>
        </row>
        <row r="552">
          <cell r="B552" t="str">
            <v>#UMV040570010</v>
          </cell>
          <cell r="C552">
            <v>1461.7296877382446</v>
          </cell>
          <cell r="D552">
            <v>1463.4647923062257</v>
          </cell>
          <cell r="E552">
            <v>1465.5200839494096</v>
          </cell>
          <cell r="F552">
            <v>1466.9601947123574</v>
          </cell>
          <cell r="G552">
            <v>1468.2652567021571</v>
          </cell>
        </row>
        <row r="553">
          <cell r="B553" t="str">
            <v>#UMV180570011</v>
          </cell>
          <cell r="C553">
            <v>1457.5186678375298</v>
          </cell>
          <cell r="D553">
            <v>1459.247906105428</v>
          </cell>
          <cell r="E553">
            <v>1461.2964062434439</v>
          </cell>
          <cell r="F553">
            <v>1462.7314960413064</v>
          </cell>
          <cell r="G553">
            <v>1464.0301799933859</v>
          </cell>
        </row>
        <row r="554">
          <cell r="B554" t="str">
            <v>#UMV010670043</v>
          </cell>
          <cell r="C554">
            <v>1453.3318408506368</v>
          </cell>
          <cell r="D554">
            <v>1455.0552514931155</v>
          </cell>
          <cell r="E554">
            <v>1457.0970041341225</v>
          </cell>
          <cell r="F554">
            <v>1458.5271068148563</v>
          </cell>
          <cell r="G554">
            <v>1459.8194643992745</v>
          </cell>
        </row>
        <row r="555">
          <cell r="B555" t="str">
            <v>#UMV220670013</v>
          </cell>
          <cell r="C555">
            <v>1447.0965079736879</v>
          </cell>
          <cell r="D555">
            <v>1448.8112488741494</v>
          </cell>
          <cell r="E555">
            <v>1450.8429618655707</v>
          </cell>
          <cell r="F555">
            <v>1452.2656466066144</v>
          </cell>
          <cell r="G555">
            <v>1453.5486102696595</v>
          </cell>
        </row>
        <row r="556">
          <cell r="B556" t="str">
            <v>#UMV200770025</v>
          </cell>
          <cell r="G556">
            <v>1444.683133199436</v>
          </cell>
        </row>
        <row r="557">
          <cell r="B557" t="str">
            <v>#UMV100870044</v>
          </cell>
          <cell r="G557">
            <v>1438.5413717070905</v>
          </cell>
        </row>
        <row r="558">
          <cell r="B558" t="str">
            <v>#UMV080970009</v>
          </cell>
          <cell r="G558">
            <v>1430.1452409551291</v>
          </cell>
        </row>
        <row r="559">
          <cell r="B559" t="str">
            <v>#UMV220770015</v>
          </cell>
          <cell r="G559">
            <v>1443.5092338725849</v>
          </cell>
        </row>
        <row r="560">
          <cell r="B560" t="str">
            <v>#UMV190870007</v>
          </cell>
          <cell r="G560">
            <v>1435.3450531806081</v>
          </cell>
        </row>
        <row r="561">
          <cell r="B561" t="str">
            <v>#UMV010970022</v>
          </cell>
          <cell r="G561">
            <v>1432.1629070686947</v>
          </cell>
        </row>
        <row r="562">
          <cell r="B562" t="str">
            <v>#UMV230970007</v>
          </cell>
          <cell r="G562">
            <v>1425.2687824496136</v>
          </cell>
        </row>
        <row r="563">
          <cell r="B563" t="str">
            <v>#UMV120870008</v>
          </cell>
          <cell r="G563">
            <v>1437.0867366983762</v>
          </cell>
        </row>
      </sheetData>
      <sheetData sheetId="5" refreshError="1"/>
      <sheetData sheetId="6" refreshError="1"/>
      <sheetData sheetId="7" refreshError="1"/>
      <sheetData sheetId="8">
        <row r="7">
          <cell r="I7" t="str">
            <v>Resumen - Pagarés Horizonte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16O6"/>
      <sheetName val="TO26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>
            <v>46309</v>
          </cell>
          <cell r="N493">
            <v>24.5625</v>
          </cell>
          <cell r="P493">
            <v>38445</v>
          </cell>
          <cell r="Q493">
            <v>1.5859110000000001</v>
          </cell>
        </row>
        <row r="494">
          <cell r="M494">
            <v>46310</v>
          </cell>
          <cell r="N494">
            <v>24.5</v>
          </cell>
          <cell r="P494">
            <v>38446</v>
          </cell>
          <cell r="Q494">
            <v>1.5864119999999999</v>
          </cell>
        </row>
        <row r="495">
          <cell r="M495">
            <v>46311</v>
          </cell>
          <cell r="N495">
            <v>24.625</v>
          </cell>
          <cell r="P495">
            <v>38447</v>
          </cell>
          <cell r="Q495">
            <v>1.5869120000000001</v>
          </cell>
        </row>
        <row r="496">
          <cell r="M496">
            <v>46314</v>
          </cell>
          <cell r="N496">
            <v>24</v>
          </cell>
          <cell r="P496">
            <v>38448</v>
          </cell>
          <cell r="Q496">
            <v>1.587413</v>
          </cell>
        </row>
        <row r="497">
          <cell r="M497">
            <v>46315</v>
          </cell>
          <cell r="N497">
            <v>24.375</v>
          </cell>
          <cell r="P497">
            <v>38449</v>
          </cell>
          <cell r="Q497">
            <v>1.5882229999999999</v>
          </cell>
        </row>
        <row r="498">
          <cell r="M498">
            <v>46316</v>
          </cell>
          <cell r="N498">
            <v>24.1875</v>
          </cell>
          <cell r="P498">
            <v>38450</v>
          </cell>
          <cell r="Q498">
            <v>1.5890329999999999</v>
          </cell>
        </row>
        <row r="499">
          <cell r="M499">
            <v>46317</v>
          </cell>
          <cell r="N499">
            <v>24.5</v>
          </cell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  <row r="8359">
          <cell r="P8359">
            <v>46311</v>
          </cell>
          <cell r="Q8359">
            <v>854.97756035401005</v>
          </cell>
        </row>
        <row r="8360">
          <cell r="P8360">
            <v>46312</v>
          </cell>
          <cell r="Q8360">
            <v>855.49682047403996</v>
          </cell>
        </row>
        <row r="8361">
          <cell r="P8361">
            <v>46313</v>
          </cell>
          <cell r="Q8361">
            <v>856.01639596031998</v>
          </cell>
        </row>
        <row r="8362">
          <cell r="P8362">
            <v>46314</v>
          </cell>
          <cell r="Q8362">
            <v>856.53628700440004</v>
          </cell>
        </row>
        <row r="8363">
          <cell r="P8363">
            <v>46315</v>
          </cell>
          <cell r="Q8363">
            <v>857.05649379790998</v>
          </cell>
        </row>
        <row r="8364">
          <cell r="P8364">
            <v>46316</v>
          </cell>
          <cell r="Q8364">
            <v>857.57701653262995</v>
          </cell>
        </row>
        <row r="8365">
          <cell r="P8365">
            <v>46317</v>
          </cell>
          <cell r="Q8365">
            <v>858.09785540044004</v>
          </cell>
        </row>
        <row r="8366">
          <cell r="P8366">
            <v>46318</v>
          </cell>
          <cell r="Q8366">
            <v>858.61901059334002</v>
          </cell>
        </row>
        <row r="8367">
          <cell r="P8367">
            <v>46319</v>
          </cell>
          <cell r="Q8367">
            <v>859.14048230344997</v>
          </cell>
        </row>
        <row r="8368">
          <cell r="P8368">
            <v>46320</v>
          </cell>
          <cell r="Q8368">
            <v>859.66227072299</v>
          </cell>
        </row>
        <row r="8369">
          <cell r="P8369">
            <v>46321</v>
          </cell>
          <cell r="Q8369">
            <v>860.18437604431995</v>
          </cell>
        </row>
        <row r="8370">
          <cell r="P8370">
            <v>46322</v>
          </cell>
          <cell r="Q8370">
            <v>860.70679845991003</v>
          </cell>
        </row>
        <row r="8371">
          <cell r="P8371">
            <v>46323</v>
          </cell>
          <cell r="Q8371">
            <v>861.22953816232996</v>
          </cell>
        </row>
        <row r="8372">
          <cell r="P8372">
            <v>46324</v>
          </cell>
          <cell r="Q8372">
            <v>861.75259534428994</v>
          </cell>
        </row>
        <row r="8373">
          <cell r="P8373">
            <v>46325</v>
          </cell>
          <cell r="Q8373">
            <v>862.27597019861003</v>
          </cell>
        </row>
        <row r="8374">
          <cell r="P8374">
            <v>46326</v>
          </cell>
          <cell r="Q8374">
            <v>862.79966291820995</v>
          </cell>
        </row>
        <row r="8375">
          <cell r="P8375">
            <v>46327</v>
          </cell>
          <cell r="Q8375">
            <v>863.32367369615997</v>
          </cell>
        </row>
        <row r="8376">
          <cell r="P8376">
            <v>46328</v>
          </cell>
          <cell r="Q8376">
            <v>863.84800272561995</v>
          </cell>
        </row>
        <row r="8377">
          <cell r="P8377">
            <v>46329</v>
          </cell>
          <cell r="Q8377">
            <v>864.37265019987001</v>
          </cell>
        </row>
        <row r="8378">
          <cell r="P8378">
            <v>46330</v>
          </cell>
          <cell r="Q8378">
            <v>864.89761631232</v>
          </cell>
        </row>
        <row r="8379">
          <cell r="P8379">
            <v>46331</v>
          </cell>
          <cell r="Q8379">
            <v>865.42290125649004</v>
          </cell>
        </row>
        <row r="8380">
          <cell r="P8380">
            <v>46332</v>
          </cell>
          <cell r="Q8380">
            <v>865.94850522601996</v>
          </cell>
        </row>
        <row r="8381">
          <cell r="P8381">
            <v>46333</v>
          </cell>
          <cell r="Q8381">
            <v>866.47442841467</v>
          </cell>
        </row>
        <row r="8382">
          <cell r="P8382">
            <v>46334</v>
          </cell>
          <cell r="Q8382">
            <v>867.00067101629998</v>
          </cell>
        </row>
        <row r="8383">
          <cell r="P8383">
            <v>46335</v>
          </cell>
          <cell r="Q8383">
            <v>867.52723322492</v>
          </cell>
        </row>
        <row r="8384">
          <cell r="P8384">
            <v>46336</v>
          </cell>
          <cell r="Q8384">
            <v>868.05411523461999</v>
          </cell>
        </row>
        <row r="8385">
          <cell r="P8385">
            <v>46337</v>
          </cell>
          <cell r="Q8385">
            <v>868.58131723965005</v>
          </cell>
        </row>
        <row r="8386">
          <cell r="P8386">
            <v>46338</v>
          </cell>
          <cell r="Q8386">
            <v>869.10883943432998</v>
          </cell>
        </row>
        <row r="8387">
          <cell r="P8387">
            <v>46339</v>
          </cell>
          <cell r="Q8387">
            <v>869.63668201313999</v>
          </cell>
        </row>
        <row r="8388">
          <cell r="P8388">
            <v>46340</v>
          </cell>
          <cell r="Q8388">
            <v>870.16484517065999</v>
          </cell>
        </row>
        <row r="8389">
          <cell r="P8389">
            <v>46341</v>
          </cell>
          <cell r="Q8389">
            <v>870.69332910158005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/>
        </row>
      </sheetData>
      <sheetData sheetId="18"/>
      <sheetData sheetId="19"/>
      <sheetData sheetId="20"/>
      <sheetData sheetId="21"/>
      <sheetData sheetId="22"/>
      <sheetData sheetId="23"/>
      <sheetData sheetId="24">
        <row r="1">
          <cell r="C1"/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s"/>
      <sheetName val="TAMAR"/>
      <sheetName val="CER"/>
      <sheetName val="Feriados"/>
      <sheetName val="Lecaps"/>
      <sheetName val="LECER"/>
    </sheetNames>
    <sheetDataSet>
      <sheetData sheetId="0"/>
      <sheetData sheetId="1"/>
      <sheetData sheetId="2"/>
      <sheetData sheetId="3">
        <row r="2">
          <cell r="A2">
            <v>46167</v>
          </cell>
        </row>
        <row r="3">
          <cell r="A3">
            <v>46188</v>
          </cell>
        </row>
        <row r="4">
          <cell r="A4">
            <v>46212</v>
          </cell>
        </row>
        <row r="5">
          <cell r="A5">
            <v>46213</v>
          </cell>
        </row>
        <row r="6">
          <cell r="A6">
            <v>46251</v>
          </cell>
        </row>
        <row r="7">
          <cell r="A7">
            <v>46307</v>
          </cell>
        </row>
        <row r="8">
          <cell r="A8">
            <v>46332</v>
          </cell>
        </row>
        <row r="9">
          <cell r="A9">
            <v>46335</v>
          </cell>
        </row>
        <row r="10">
          <cell r="A10">
            <v>46336</v>
          </cell>
        </row>
        <row r="11">
          <cell r="A11">
            <v>46349</v>
          </cell>
        </row>
        <row r="12">
          <cell r="A12">
            <v>46363</v>
          </cell>
        </row>
        <row r="13">
          <cell r="A13">
            <v>46364</v>
          </cell>
        </row>
        <row r="14">
          <cell r="A14">
            <v>46381</v>
          </cell>
        </row>
        <row r="15">
          <cell r="A15"/>
        </row>
        <row r="16">
          <cell r="A16"/>
        </row>
      </sheetData>
      <sheetData sheetId="4"/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9"/>
  <sheetViews>
    <sheetView tabSelected="1" workbookViewId="0">
      <pane ySplit="1" topLeftCell="A138" activePane="bottomLeft" state="frozen"/>
      <selection pane="bottomLeft" activeCell="B165" sqref="B165"/>
    </sheetView>
  </sheetViews>
  <sheetFormatPr baseColWidth="10" defaultRowHeight="15" x14ac:dyDescent="0.25"/>
  <sheetData>
    <row r="1" spans="1:15" x14ac:dyDescent="0.25">
      <c r="A1" t="s">
        <v>2</v>
      </c>
      <c r="B1" t="s">
        <v>3</v>
      </c>
      <c r="C1" t="s">
        <v>4</v>
      </c>
      <c r="D1" t="s">
        <v>12</v>
      </c>
      <c r="E1" t="s">
        <v>7</v>
      </c>
      <c r="F1" t="s">
        <v>11</v>
      </c>
      <c r="G1" t="s">
        <v>11</v>
      </c>
      <c r="H1" t="s">
        <v>13</v>
      </c>
      <c r="I1" t="s">
        <v>14</v>
      </c>
      <c r="J1" s="9" t="s">
        <v>15</v>
      </c>
      <c r="K1" s="9" t="s">
        <v>16</v>
      </c>
      <c r="L1" s="9" t="s">
        <v>17</v>
      </c>
      <c r="M1" s="9" t="s">
        <v>18</v>
      </c>
      <c r="N1" s="9" t="s">
        <v>19</v>
      </c>
      <c r="O1" s="9" t="s">
        <v>20</v>
      </c>
    </row>
    <row r="2" spans="1:15" x14ac:dyDescent="0.25">
      <c r="A2" s="7">
        <v>46072</v>
      </c>
      <c r="C2">
        <v>102.99999999941318</v>
      </c>
      <c r="E2">
        <v>121.4499999999918</v>
      </c>
      <c r="F2">
        <v>103.70000000000471</v>
      </c>
      <c r="G2" s="9">
        <v>1.037000000000047</v>
      </c>
      <c r="I2" s="9">
        <v>1.0390000000000437</v>
      </c>
      <c r="J2" s="9">
        <v>1.0255000000000369</v>
      </c>
      <c r="K2" s="9">
        <v>1.0959999999939141</v>
      </c>
      <c r="L2" s="9">
        <v>1.0525000000000342</v>
      </c>
      <c r="M2" s="9">
        <v>3.1489999999999956</v>
      </c>
      <c r="N2" s="9">
        <v>0.99499999999518851</v>
      </c>
      <c r="O2" s="9">
        <v>1.0039999999997464</v>
      </c>
    </row>
    <row r="3" spans="1:15" x14ac:dyDescent="0.25">
      <c r="A3" s="7">
        <v>46073</v>
      </c>
      <c r="C3">
        <v>104.89999999968605</v>
      </c>
      <c r="E3">
        <v>121.79999999999124</v>
      </c>
      <c r="F3">
        <v>104.14999999893084</v>
      </c>
      <c r="G3" s="9">
        <v>1.0414999999893084</v>
      </c>
      <c r="I3" s="9">
        <v>1.0385000000000253</v>
      </c>
      <c r="J3" s="9">
        <v>1.0275000000000187</v>
      </c>
      <c r="K3" s="9">
        <v>1.10149999999524</v>
      </c>
      <c r="L3" s="9">
        <v>1.0550000000000848</v>
      </c>
      <c r="M3" s="9">
        <v>3.1950000000001011</v>
      </c>
      <c r="N3" s="9">
        <v>0.98999999999997823</v>
      </c>
      <c r="O3" s="9">
        <v>1.0052499999997973</v>
      </c>
    </row>
    <row r="4" spans="1:15" x14ac:dyDescent="0.25">
      <c r="A4" s="7">
        <v>46076</v>
      </c>
      <c r="C4">
        <v>103.99999999937211</v>
      </c>
      <c r="E4">
        <v>121.89999999998918</v>
      </c>
      <c r="F4">
        <v>103.50000000000973</v>
      </c>
      <c r="G4" s="9">
        <v>1.0350000000000974</v>
      </c>
      <c r="I4" s="9">
        <v>0.9999999999992718</v>
      </c>
      <c r="J4" s="9">
        <v>1.0294000000000267</v>
      </c>
      <c r="K4" s="9">
        <v>1.1029999999954871</v>
      </c>
      <c r="L4" s="9">
        <v>1.0519999999999896</v>
      </c>
      <c r="M4" s="9">
        <v>3.1829999999999679</v>
      </c>
      <c r="N4" s="9">
        <v>1.033000000000005</v>
      </c>
      <c r="O4" s="9">
        <v>1.0084999999998279</v>
      </c>
    </row>
    <row r="5" spans="1:15" x14ac:dyDescent="0.25">
      <c r="A5" s="7">
        <v>46077</v>
      </c>
      <c r="C5">
        <v>103.50000000000152</v>
      </c>
      <c r="E5">
        <v>123.55000000000049</v>
      </c>
      <c r="F5">
        <v>105.14999999930235</v>
      </c>
      <c r="G5" s="9">
        <v>1.0514999999930235</v>
      </c>
      <c r="I5" s="9">
        <v>1.0089999999997927</v>
      </c>
      <c r="J5" s="9">
        <v>1.0389499999999909</v>
      </c>
      <c r="K5" s="9">
        <v>1.1159999999973647</v>
      </c>
      <c r="L5" s="9">
        <v>1.0614999999999595</v>
      </c>
      <c r="M5" s="9">
        <v>3.1779999999999733</v>
      </c>
      <c r="N5" s="9">
        <v>1.004999999997616</v>
      </c>
      <c r="O5" s="9">
        <v>1.0114999999998535</v>
      </c>
    </row>
    <row r="6" spans="1:15" x14ac:dyDescent="0.25">
      <c r="A6" s="7">
        <v>46078</v>
      </c>
      <c r="C6">
        <v>104.90000000000501</v>
      </c>
      <c r="E6">
        <v>123.59999999999873</v>
      </c>
      <c r="F6">
        <v>105.49999999939821</v>
      </c>
      <c r="G6" s="9">
        <v>1.0549999999939821</v>
      </c>
      <c r="I6" s="9"/>
      <c r="J6" s="9">
        <v>1.0409999999999873</v>
      </c>
      <c r="K6" s="9">
        <v>1.1189999999977578</v>
      </c>
      <c r="L6" s="9">
        <v>1.0615000000000072</v>
      </c>
      <c r="M6" s="9">
        <v>3.1705000000001764</v>
      </c>
      <c r="N6" s="9">
        <v>1.004999999997251</v>
      </c>
      <c r="O6" s="9">
        <v>1.0114999999998486</v>
      </c>
    </row>
    <row r="7" spans="1:15" x14ac:dyDescent="0.25">
      <c r="A7" s="7">
        <v>46079</v>
      </c>
      <c r="C7">
        <v>103.50000000000257</v>
      </c>
      <c r="E7">
        <v>124.14999999999895</v>
      </c>
      <c r="F7">
        <v>105.99999999950973</v>
      </c>
      <c r="G7" s="9">
        <v>1.0599999999950973</v>
      </c>
      <c r="I7" s="9">
        <v>1.026000000000066</v>
      </c>
      <c r="J7" s="9">
        <v>1.042009999999967</v>
      </c>
      <c r="K7" s="9">
        <v>1.1254999999983901</v>
      </c>
      <c r="L7" s="9">
        <v>1.0749999999899797</v>
      </c>
      <c r="M7" s="9">
        <v>3.2039999999999678</v>
      </c>
      <c r="N7" s="9">
        <v>1.009999999998396</v>
      </c>
      <c r="O7" s="9">
        <v>1.0169999999999662</v>
      </c>
    </row>
    <row r="8" spans="1:15" x14ac:dyDescent="0.25">
      <c r="A8" s="7">
        <v>46080</v>
      </c>
      <c r="C8">
        <v>104.89999999999642</v>
      </c>
      <c r="E8">
        <v>124.50000000000203</v>
      </c>
      <c r="F8">
        <v>105.99999999951297</v>
      </c>
      <c r="G8" s="9">
        <v>1.0599999999951297</v>
      </c>
      <c r="I8" s="9">
        <v>1.0290000000000044</v>
      </c>
      <c r="J8" s="9">
        <v>1.0489999999999859</v>
      </c>
      <c r="K8" s="9">
        <v>1.1284999999985121</v>
      </c>
      <c r="L8" s="9">
        <v>1.103999999997076</v>
      </c>
      <c r="M8" s="9">
        <v>3.2499999999773217</v>
      </c>
      <c r="N8" s="9">
        <v>1.0400000000001015</v>
      </c>
      <c r="O8" s="9">
        <v>1.0244999999999562</v>
      </c>
    </row>
    <row r="9" spans="1:15" x14ac:dyDescent="0.25">
      <c r="A9" s="7">
        <v>46083</v>
      </c>
      <c r="C9">
        <v>106.99999999972248</v>
      </c>
      <c r="E9">
        <v>124.79999999999687</v>
      </c>
      <c r="F9">
        <v>106.74999999965307</v>
      </c>
      <c r="G9" s="9">
        <v>1.0674999999965307</v>
      </c>
      <c r="I9" s="9">
        <v>1.0290000000000237</v>
      </c>
      <c r="J9" s="9">
        <v>1.0555000000000447</v>
      </c>
      <c r="K9" s="9">
        <v>1.1284999999984553</v>
      </c>
      <c r="L9" s="9">
        <v>1.0909999999948847</v>
      </c>
      <c r="M9" s="9">
        <v>3.2554999999793024</v>
      </c>
      <c r="N9" s="9">
        <v>1.0199999999993843</v>
      </c>
      <c r="O9" s="9">
        <v>1.0239999999999734</v>
      </c>
    </row>
    <row r="10" spans="1:15" x14ac:dyDescent="0.25">
      <c r="A10" s="7">
        <v>46084</v>
      </c>
      <c r="C10">
        <v>106.79999999978268</v>
      </c>
      <c r="E10">
        <v>124.30000000000105</v>
      </c>
      <c r="F10">
        <v>106.6999999996502</v>
      </c>
      <c r="G10" s="9">
        <v>1.0669999999965021</v>
      </c>
      <c r="I10" s="9">
        <v>1.0290000000000428</v>
      </c>
      <c r="J10" s="9">
        <v>1.0584999999999973</v>
      </c>
      <c r="K10" s="9">
        <v>1.1219999999980719</v>
      </c>
      <c r="L10" s="9">
        <v>1.0839999999930721</v>
      </c>
      <c r="M10" s="9">
        <v>3.2324999999997717</v>
      </c>
      <c r="N10" s="9">
        <v>1.0299999999997191</v>
      </c>
      <c r="O10" s="9">
        <v>1.0269999999999477</v>
      </c>
    </row>
    <row r="11" spans="1:15" x14ac:dyDescent="0.25">
      <c r="A11" s="7">
        <v>46085</v>
      </c>
      <c r="C11">
        <v>106.79999999987135</v>
      </c>
      <c r="E11">
        <v>124.59999999999923</v>
      </c>
      <c r="F11">
        <v>106.74999999964984</v>
      </c>
      <c r="G11" s="9">
        <v>1.0674999999964985</v>
      </c>
      <c r="I11" s="9">
        <v>0.99799999999567179</v>
      </c>
      <c r="J11" s="9">
        <v>1.0574999999999493</v>
      </c>
      <c r="K11" s="9">
        <v>1.1249999999983304</v>
      </c>
      <c r="L11" s="9">
        <v>1.0849999999935449</v>
      </c>
      <c r="M11" s="9">
        <v>3.2490000000001835</v>
      </c>
      <c r="N11" s="9">
        <v>1.0399999999999416</v>
      </c>
      <c r="O11" s="9">
        <v>1.0299999999999416</v>
      </c>
    </row>
    <row r="12" spans="1:15" x14ac:dyDescent="0.25">
      <c r="A12" s="7">
        <v>46086</v>
      </c>
      <c r="C12">
        <v>105.19999999983145</v>
      </c>
      <c r="E12">
        <v>124.60000000000102</v>
      </c>
      <c r="F12">
        <v>106.49999999960409</v>
      </c>
      <c r="G12" s="9">
        <v>1.0649999999960409</v>
      </c>
      <c r="I12" s="9">
        <v>1.0390000000000099</v>
      </c>
      <c r="J12" s="9">
        <v>1.0523600000000179</v>
      </c>
      <c r="K12" s="9">
        <v>1.1244999999982772</v>
      </c>
      <c r="L12" s="9">
        <v>1.0774999999910853</v>
      </c>
      <c r="M12" s="9">
        <v>3.2459999999998952</v>
      </c>
      <c r="N12" s="10">
        <v>1.0675000000000372</v>
      </c>
      <c r="O12" s="9">
        <v>1.032000000000004</v>
      </c>
    </row>
    <row r="13" spans="1:15" x14ac:dyDescent="0.25">
      <c r="A13" s="7">
        <v>46087</v>
      </c>
      <c r="C13">
        <v>104.99999999984149</v>
      </c>
      <c r="E13">
        <v>124.64999999999526</v>
      </c>
      <c r="F13">
        <v>105.9999999995149</v>
      </c>
      <c r="G13" s="9">
        <v>1.059999999995149</v>
      </c>
      <c r="I13" s="9">
        <v>1.045499999999989</v>
      </c>
      <c r="J13" s="9">
        <v>1.0480000000000138</v>
      </c>
      <c r="K13" s="9">
        <v>1.123999999998156</v>
      </c>
      <c r="L13" s="9">
        <v>1.0749999999900617</v>
      </c>
      <c r="M13" s="9">
        <v>3.2410000000000663</v>
      </c>
      <c r="N13" s="9"/>
      <c r="O13" s="9">
        <v>1.0349999999999961</v>
      </c>
    </row>
    <row r="14" spans="1:15" x14ac:dyDescent="0.25">
      <c r="A14" s="7">
        <v>46090</v>
      </c>
      <c r="C14">
        <v>104.54999999980792</v>
      </c>
      <c r="E14">
        <v>124.99999999999638</v>
      </c>
      <c r="F14">
        <v>105.74999999945535</v>
      </c>
      <c r="G14" s="9">
        <v>1.0574999999945536</v>
      </c>
      <c r="I14" s="9">
        <v>1.0395000000000292</v>
      </c>
      <c r="J14" s="9">
        <v>1.044999999999999</v>
      </c>
      <c r="K14" s="9">
        <v>1.1249999999982796</v>
      </c>
      <c r="L14" s="9">
        <v>1.0744999999898392</v>
      </c>
      <c r="M14" s="9">
        <v>3.24999999999975</v>
      </c>
      <c r="N14" s="10">
        <v>1.0675000000000372</v>
      </c>
      <c r="O14" s="9">
        <v>1.0358999999999625</v>
      </c>
    </row>
    <row r="15" spans="1:15" x14ac:dyDescent="0.25">
      <c r="A15" s="7">
        <v>46091</v>
      </c>
      <c r="C15">
        <v>106.04999999990095</v>
      </c>
      <c r="E15">
        <v>125.50000000000064</v>
      </c>
      <c r="F15">
        <v>106.64999999963499</v>
      </c>
      <c r="G15" s="9">
        <v>1.0664999999963498</v>
      </c>
      <c r="I15" s="9">
        <v>1.0099999999979161</v>
      </c>
      <c r="J15" s="9">
        <v>1.0494000000000043</v>
      </c>
      <c r="K15" s="9">
        <v>1.1294999999985909</v>
      </c>
      <c r="L15" s="9">
        <v>1.0749999999900226</v>
      </c>
      <c r="M15" s="9">
        <v>3.2500000000001599</v>
      </c>
      <c r="N15" s="9">
        <v>1.0679999999999417</v>
      </c>
      <c r="O15" s="9">
        <v>1.0378999999999534</v>
      </c>
    </row>
    <row r="16" spans="1:15" x14ac:dyDescent="0.25">
      <c r="A16" s="7">
        <v>46092</v>
      </c>
      <c r="C16">
        <v>106.7999999999403</v>
      </c>
      <c r="E16">
        <v>126.00000000000557</v>
      </c>
      <c r="F16">
        <v>106.79999999966773</v>
      </c>
      <c r="G16" s="9">
        <v>1.0679999999966774</v>
      </c>
      <c r="I16" s="9">
        <v>1.0199999999994018</v>
      </c>
      <c r="J16" s="9">
        <v>1.0500000000000074</v>
      </c>
      <c r="K16" s="9">
        <v>1.1354999999988609</v>
      </c>
      <c r="L16" s="9">
        <v>1.0829999999929263</v>
      </c>
      <c r="M16" s="9">
        <v>3.2540000000000036</v>
      </c>
      <c r="N16" s="9">
        <v>1.0675000000000372</v>
      </c>
      <c r="O16" s="9">
        <v>1.0384999999999893</v>
      </c>
    </row>
    <row r="17" spans="1:15" x14ac:dyDescent="0.25">
      <c r="A17" s="7">
        <v>46093</v>
      </c>
      <c r="C17">
        <v>106.19999999991859</v>
      </c>
      <c r="E17">
        <v>124.49999999999011</v>
      </c>
      <c r="F17">
        <v>106.44999999960689</v>
      </c>
      <c r="G17" s="9">
        <v>1.0644999999960689</v>
      </c>
      <c r="I17" s="9">
        <v>1.0099999999971798</v>
      </c>
      <c r="J17" s="9">
        <v>1.0455000000000034</v>
      </c>
      <c r="K17" s="9">
        <v>1.1284999999984682</v>
      </c>
      <c r="L17" s="9">
        <v>1.0824999999927818</v>
      </c>
      <c r="M17" s="9">
        <v>3.2504999999999495</v>
      </c>
      <c r="N17" s="9">
        <v>1.0159999999945137</v>
      </c>
      <c r="O17" s="9">
        <v>1.0409899999999972</v>
      </c>
    </row>
    <row r="18" spans="1:15" x14ac:dyDescent="0.25">
      <c r="A18" s="7">
        <v>46094</v>
      </c>
      <c r="C18">
        <v>107.94999999996216</v>
      </c>
      <c r="E18">
        <v>125.90000000000032</v>
      </c>
      <c r="F18">
        <v>106.54999999961852</v>
      </c>
      <c r="G18" s="9">
        <v>1.0654999999961852</v>
      </c>
      <c r="I18" s="9">
        <v>1.0369999999998949</v>
      </c>
      <c r="J18" s="9">
        <v>1.0590000000000477</v>
      </c>
      <c r="K18" s="9">
        <v>1.1354999999988571</v>
      </c>
      <c r="L18" s="9">
        <v>1.0874999999940276</v>
      </c>
      <c r="M18" s="9">
        <v>3.2999999999691103</v>
      </c>
      <c r="N18" s="9">
        <v>1.0379999999994793</v>
      </c>
      <c r="O18" s="9">
        <v>1.0540000000000018</v>
      </c>
    </row>
    <row r="19" spans="1:15" x14ac:dyDescent="0.25">
      <c r="A19" s="7">
        <v>46097</v>
      </c>
      <c r="C19">
        <v>107.74999999996066</v>
      </c>
      <c r="E19">
        <v>127.15000000000043</v>
      </c>
      <c r="F19">
        <v>107.09999999969627</v>
      </c>
      <c r="G19" s="9">
        <v>1.0709999999969626</v>
      </c>
      <c r="I19" s="9">
        <v>1.0484999999999984</v>
      </c>
      <c r="J19" s="9">
        <v>1.0609000000000328</v>
      </c>
      <c r="K19" s="9">
        <v>1.1419999999992334</v>
      </c>
      <c r="L19" s="9">
        <v>1.0869999999939537</v>
      </c>
      <c r="M19" s="9">
        <v>3.3429999999920428</v>
      </c>
      <c r="N19" s="9">
        <v>1.0479999999998857</v>
      </c>
      <c r="O19" s="9">
        <v>1.0660000000000289</v>
      </c>
    </row>
    <row r="20" spans="1:15" x14ac:dyDescent="0.25">
      <c r="A20" s="7">
        <v>46098</v>
      </c>
      <c r="C20">
        <v>107.24999999994462</v>
      </c>
      <c r="E20">
        <v>127.39999999999571</v>
      </c>
      <c r="F20">
        <v>107.74999999977079</v>
      </c>
      <c r="G20" s="9">
        <v>1.077499999997708</v>
      </c>
      <c r="I20" s="9">
        <v>1.0449999999999871</v>
      </c>
      <c r="J20" s="9">
        <v>1.0616999999999854</v>
      </c>
      <c r="K20" s="9">
        <v>1.1439999999992656</v>
      </c>
      <c r="L20" s="9">
        <v>1.0949999999957478</v>
      </c>
      <c r="M20" s="9">
        <v>3.3899999999988313</v>
      </c>
      <c r="N20" s="9">
        <v>1.0484999999998044</v>
      </c>
      <c r="O20" s="9">
        <v>1.0664999999999933</v>
      </c>
    </row>
    <row r="21" spans="1:15" x14ac:dyDescent="0.25">
      <c r="A21" s="7">
        <v>46099</v>
      </c>
      <c r="C21">
        <v>106.94999999994322</v>
      </c>
      <c r="E21">
        <v>127.60000000000218</v>
      </c>
      <c r="F21">
        <v>107.5499999997611</v>
      </c>
      <c r="G21" s="9">
        <v>1.0754999999976109</v>
      </c>
      <c r="I21" s="9">
        <v>1.0499999999999998</v>
      </c>
      <c r="J21" s="9">
        <v>1.0629999999999746</v>
      </c>
      <c r="K21" s="9">
        <v>1.1464999999993757</v>
      </c>
      <c r="L21" s="9">
        <v>1.0979999999962837</v>
      </c>
      <c r="M21" s="9">
        <v>3.4044999999992411</v>
      </c>
      <c r="N21" s="9">
        <v>1.0699999999999621</v>
      </c>
      <c r="O21" s="9">
        <v>1.0692999999999977</v>
      </c>
    </row>
    <row r="22" spans="1:15" x14ac:dyDescent="0.25">
      <c r="A22" s="7">
        <v>46100</v>
      </c>
      <c r="C22">
        <v>106.64999999994774</v>
      </c>
      <c r="E22">
        <v>128.10000000000068</v>
      </c>
      <c r="F22">
        <v>108.79999999986161</v>
      </c>
      <c r="G22" s="9">
        <v>1.0879999999986161</v>
      </c>
      <c r="I22" s="9">
        <v>1.0489999999999784</v>
      </c>
      <c r="J22" s="9">
        <v>1.0674999999999857</v>
      </c>
      <c r="K22" s="9">
        <v>1.1554999999995572</v>
      </c>
      <c r="L22" s="9">
        <v>1.0999999999966026</v>
      </c>
      <c r="M22" s="9">
        <v>3.3599999999937551</v>
      </c>
      <c r="N22" s="9">
        <v>1.0689999999999893</v>
      </c>
      <c r="O22" s="9">
        <v>1.0664999999999885</v>
      </c>
    </row>
    <row r="23" spans="1:15" x14ac:dyDescent="0.25">
      <c r="A23" s="7">
        <v>46101</v>
      </c>
      <c r="C23">
        <v>107.49999999997884</v>
      </c>
      <c r="E23">
        <v>128.15000000000097</v>
      </c>
      <c r="F23">
        <v>109.19999999988559</v>
      </c>
      <c r="G23" s="9">
        <v>1.0919999999988559</v>
      </c>
      <c r="I23" s="9">
        <v>1.0399999999998564</v>
      </c>
      <c r="J23" s="9">
        <v>1.0739999999999919</v>
      </c>
      <c r="K23" s="9">
        <v>1.1624999999996561</v>
      </c>
      <c r="L23" s="9">
        <v>1.1049999999972795</v>
      </c>
      <c r="M23" s="9">
        <v>3.3689999999934948</v>
      </c>
      <c r="N23" s="9">
        <v>1.059999999999909</v>
      </c>
      <c r="O23" s="9">
        <v>1.0725000000000322</v>
      </c>
    </row>
    <row r="24" spans="1:15" x14ac:dyDescent="0.25">
      <c r="A24" s="7">
        <v>46104</v>
      </c>
      <c r="C24">
        <v>108.14999999998879</v>
      </c>
      <c r="E24">
        <v>128.49999999999977</v>
      </c>
      <c r="F24">
        <v>109.79999999990882</v>
      </c>
      <c r="G24" s="9">
        <v>1.0979999999990881</v>
      </c>
      <c r="I24" s="9">
        <v>1.0500000000000116</v>
      </c>
      <c r="J24" s="9">
        <v>1.0859999999999976</v>
      </c>
      <c r="K24" s="9">
        <v>1.1669999999997267</v>
      </c>
      <c r="L24" s="9">
        <v>1.1194999999985551</v>
      </c>
      <c r="M24" s="9">
        <v>3.4214999999995257</v>
      </c>
      <c r="N24" s="9">
        <v>1.0695000000000225</v>
      </c>
      <c r="O24" s="9">
        <v>1.0794999999999879</v>
      </c>
    </row>
    <row r="25" spans="1:15" x14ac:dyDescent="0.25">
      <c r="A25" s="7">
        <v>46106</v>
      </c>
      <c r="C25">
        <v>106.19999999997103</v>
      </c>
      <c r="E25">
        <v>128.65000000000057</v>
      </c>
      <c r="F25">
        <v>110.09999999992448</v>
      </c>
      <c r="G25" s="9">
        <v>1.1009999999992448</v>
      </c>
      <c r="I25" s="9">
        <v>1.065000000000027</v>
      </c>
      <c r="J25" s="9">
        <v>1.0759900000000158</v>
      </c>
      <c r="K25" s="9">
        <v>1.1669999999997076</v>
      </c>
      <c r="L25" s="9">
        <v>1.1089999999977271</v>
      </c>
      <c r="M25" s="9">
        <v>3.4099999999984676</v>
      </c>
      <c r="N25" s="9">
        <v>1.0674999999999715</v>
      </c>
      <c r="O25" s="9">
        <v>1.0744999999999723</v>
      </c>
    </row>
    <row r="26" spans="1:15" x14ac:dyDescent="0.25">
      <c r="A26" s="7">
        <v>46107</v>
      </c>
      <c r="C26">
        <v>106.64999999998584</v>
      </c>
      <c r="E26">
        <v>130.10000000000147</v>
      </c>
      <c r="F26">
        <v>110.99999999994621</v>
      </c>
      <c r="G26" s="9">
        <v>1.1099999999994621</v>
      </c>
      <c r="I26" s="9">
        <v>1.1574999999987605</v>
      </c>
      <c r="J26" s="9">
        <v>1.0848999999999733</v>
      </c>
      <c r="K26" s="9">
        <v>1.1799999999998176</v>
      </c>
      <c r="L26" s="9">
        <v>1.1399999999995172</v>
      </c>
      <c r="M26" s="9">
        <v>3.4399999999993502</v>
      </c>
      <c r="N26" s="9">
        <v>1.0800000000000392</v>
      </c>
      <c r="O26" s="9">
        <v>1.0950000000000129</v>
      </c>
    </row>
    <row r="27" spans="1:15" x14ac:dyDescent="0.25">
      <c r="A27" s="7">
        <v>46108</v>
      </c>
      <c r="C27">
        <v>107.59999999999323</v>
      </c>
      <c r="E27">
        <v>130.60000000000019</v>
      </c>
      <c r="F27">
        <v>111.44999999995258</v>
      </c>
      <c r="G27" s="9">
        <v>1.1144999999995258</v>
      </c>
      <c r="I27" s="9">
        <v>1.1310000000000431</v>
      </c>
      <c r="J27" s="9">
        <v>1.0909699999999889</v>
      </c>
      <c r="K27" s="9">
        <v>1.1819999999998494</v>
      </c>
      <c r="L27" s="9">
        <v>1.1299999999990507</v>
      </c>
      <c r="M27" s="9">
        <v>3.4849999999995833</v>
      </c>
      <c r="N27" s="9">
        <v>1.1049999999944762</v>
      </c>
      <c r="O27" s="9">
        <v>1.1019999999999992</v>
      </c>
    </row>
    <row r="28" spans="1:15" x14ac:dyDescent="0.25">
      <c r="A28" s="7">
        <v>46111</v>
      </c>
      <c r="C28">
        <v>107.44999999998809</v>
      </c>
      <c r="E28">
        <v>129.79999999999887</v>
      </c>
      <c r="F28">
        <v>110.34999999992765</v>
      </c>
      <c r="G28" s="9">
        <v>1.1034999999992765</v>
      </c>
      <c r="I28" s="9">
        <v>1.0800000000000565</v>
      </c>
      <c r="J28" s="9">
        <v>1.0865100000000272</v>
      </c>
      <c r="K28" s="9">
        <v>1.172999999999808</v>
      </c>
      <c r="L28" s="9">
        <v>1.1289999999990359</v>
      </c>
      <c r="M28" s="9">
        <v>3.4835000000001934</v>
      </c>
      <c r="N28" s="9">
        <v>1.1099999999976307</v>
      </c>
      <c r="O28" s="9">
        <v>1.0964999999986789</v>
      </c>
    </row>
    <row r="29" spans="1:15" x14ac:dyDescent="0.25">
      <c r="A29" s="7">
        <v>46112</v>
      </c>
      <c r="C29">
        <v>108.29999999999424</v>
      </c>
      <c r="E29">
        <v>130.300000000002</v>
      </c>
      <c r="F29">
        <v>110.29999999993643</v>
      </c>
      <c r="G29" s="9">
        <v>1.1029999999993643</v>
      </c>
      <c r="I29" s="9">
        <v>1.0690000000000301</v>
      </c>
      <c r="J29" s="9">
        <v>1.0915000000000348</v>
      </c>
      <c r="K29" s="9">
        <v>1.1744999999998007</v>
      </c>
      <c r="L29" s="9">
        <v>1.1339999999992059</v>
      </c>
      <c r="M29" s="9">
        <v>3.5300000000003466</v>
      </c>
      <c r="N29" s="9">
        <v>1.0950000000000111</v>
      </c>
      <c r="O29" s="9">
        <v>1.1023500000000188</v>
      </c>
    </row>
    <row r="30" spans="1:15" x14ac:dyDescent="0.25">
      <c r="A30" s="7">
        <v>46113</v>
      </c>
      <c r="C30">
        <v>109.10000000000069</v>
      </c>
      <c r="E30">
        <v>131.04999999999836</v>
      </c>
      <c r="F30">
        <v>110.7999999999457</v>
      </c>
      <c r="G30" s="9">
        <v>1.107999999999457</v>
      </c>
      <c r="I30" s="9">
        <v>1.0999999999998211</v>
      </c>
      <c r="J30" s="9">
        <v>1.0966900000000166</v>
      </c>
      <c r="K30" s="9">
        <v>1.178499999999858</v>
      </c>
      <c r="L30" s="9">
        <v>1.1294999999990731</v>
      </c>
      <c r="M30" s="9">
        <v>3.5690000000000417</v>
      </c>
      <c r="N30" s="9">
        <v>1.0980000000000232</v>
      </c>
      <c r="O30" s="9">
        <v>1.1049999999999873</v>
      </c>
    </row>
    <row r="31" spans="1:15" x14ac:dyDescent="0.25">
      <c r="A31" s="7">
        <v>46118</v>
      </c>
      <c r="C31">
        <v>109.74999999999665</v>
      </c>
      <c r="E31">
        <v>130.90000000000182</v>
      </c>
      <c r="F31">
        <v>110.89999999994644</v>
      </c>
      <c r="G31" s="9">
        <v>1.1089999999994644</v>
      </c>
      <c r="I31" s="9">
        <v>1.1150000000000633</v>
      </c>
      <c r="J31" s="9">
        <v>1.0989999999999649</v>
      </c>
      <c r="K31" s="9">
        <v>1.177499999999831</v>
      </c>
      <c r="L31" s="9">
        <v>1.1374999999993509</v>
      </c>
      <c r="M31" s="9">
        <v>3.6124999999959631</v>
      </c>
      <c r="N31" s="9">
        <v>1.1055000000000108</v>
      </c>
      <c r="O31" s="9">
        <v>1.1079999999999852</v>
      </c>
    </row>
    <row r="32" spans="1:15" x14ac:dyDescent="0.25">
      <c r="A32" s="7">
        <v>46119</v>
      </c>
      <c r="C32">
        <v>110.25000000000263</v>
      </c>
      <c r="E32">
        <v>130.79999999999762</v>
      </c>
      <c r="F32">
        <v>110.79999999994259</v>
      </c>
      <c r="G32" s="9">
        <v>1.1079999999994259</v>
      </c>
      <c r="I32" s="9">
        <v>1.09000000000007</v>
      </c>
      <c r="J32" s="9">
        <v>1.094800000000018</v>
      </c>
      <c r="K32" s="9">
        <v>1.1774999999997859</v>
      </c>
      <c r="L32" s="9">
        <v>1.1409999999994735</v>
      </c>
      <c r="M32" s="9">
        <v>3.5800000000000889</v>
      </c>
      <c r="N32" s="9">
        <v>1.126000000000011</v>
      </c>
      <c r="O32" s="9">
        <v>1.1080000000000125</v>
      </c>
    </row>
    <row r="33" spans="1:15" x14ac:dyDescent="0.25">
      <c r="A33" s="7">
        <v>46120</v>
      </c>
      <c r="C33">
        <v>109.79999999999788</v>
      </c>
      <c r="E33">
        <v>131.30000000000334</v>
      </c>
      <c r="F33">
        <v>110.89999999995108</v>
      </c>
      <c r="G33" s="9">
        <v>1.1089999999995108</v>
      </c>
      <c r="I33" s="9">
        <v>1.0999999999960908</v>
      </c>
      <c r="J33" s="9">
        <v>1.0964900000000091</v>
      </c>
      <c r="K33" s="9">
        <v>1.1819999999999284</v>
      </c>
      <c r="L33" s="9">
        <v>1.1319999999991799</v>
      </c>
      <c r="M33" s="9">
        <v>3.5600000000001022</v>
      </c>
      <c r="N33" s="9">
        <v>1.1300000000000012</v>
      </c>
      <c r="O33" s="9">
        <v>1.1107600000000233</v>
      </c>
    </row>
    <row r="34" spans="1:15" x14ac:dyDescent="0.25">
      <c r="A34" s="7">
        <v>46121</v>
      </c>
      <c r="C34">
        <v>109.44999999999936</v>
      </c>
      <c r="E34">
        <v>131.5000000000027</v>
      </c>
      <c r="F34">
        <v>111.59999999995959</v>
      </c>
      <c r="G34" s="9">
        <v>1.115999999999596</v>
      </c>
      <c r="I34" s="9">
        <v>1.1099999999904933</v>
      </c>
      <c r="J34" s="9">
        <v>1.0979999999999808</v>
      </c>
      <c r="K34" s="9">
        <v>1.1869999999998699</v>
      </c>
      <c r="L34" s="9">
        <v>1.1384999999992957</v>
      </c>
      <c r="M34" s="9">
        <v>3.5404999999998603</v>
      </c>
      <c r="N34" s="9">
        <v>1.1199999999956616</v>
      </c>
      <c r="O34" s="9">
        <v>1.1159999999999803</v>
      </c>
    </row>
    <row r="35" spans="1:15" x14ac:dyDescent="0.25">
      <c r="A35" s="7">
        <v>46122</v>
      </c>
      <c r="C35">
        <v>109.49999999999973</v>
      </c>
      <c r="E35">
        <v>131.79999999999504</v>
      </c>
      <c r="F35">
        <v>112.39999999997204</v>
      </c>
      <c r="G35" s="9">
        <v>1.1239999999997203</v>
      </c>
      <c r="I35" s="9">
        <v>1.1749999999987069</v>
      </c>
      <c r="J35" s="9">
        <v>1.1035999999999915</v>
      </c>
      <c r="K35" s="9">
        <v>1.1914999999999114</v>
      </c>
      <c r="L35" s="9">
        <v>1.137999999999294</v>
      </c>
      <c r="M35" s="9">
        <v>3.5589999999997133</v>
      </c>
      <c r="N35" s="9">
        <v>1.1280000000000576</v>
      </c>
      <c r="O35" s="9">
        <v>1.1175000000000006</v>
      </c>
    </row>
    <row r="36" spans="1:15" x14ac:dyDescent="0.25">
      <c r="A36" s="7">
        <v>46125</v>
      </c>
      <c r="C36">
        <v>109.54999999999784</v>
      </c>
      <c r="E36">
        <v>132.19999999999791</v>
      </c>
      <c r="F36">
        <v>112.94999999998629</v>
      </c>
      <c r="G36" s="9">
        <v>1.1294999999998629</v>
      </c>
      <c r="I36" s="9">
        <v>1.0959999999999455</v>
      </c>
      <c r="J36" s="9">
        <v>1.104999999999996</v>
      </c>
      <c r="K36" s="9">
        <v>1.1964999999999282</v>
      </c>
      <c r="L36" s="9">
        <v>1.1384999999994561</v>
      </c>
      <c r="M36" s="9">
        <v>3.5579999999997454</v>
      </c>
      <c r="N36" s="9">
        <v>1.128000000000029</v>
      </c>
      <c r="O36" s="9">
        <v>1.1199999999999819</v>
      </c>
    </row>
    <row r="37" spans="1:15" x14ac:dyDescent="0.25">
      <c r="A37" s="7">
        <v>46126</v>
      </c>
      <c r="C37">
        <v>109.30000000000398</v>
      </c>
      <c r="E37">
        <v>132.7500000000073</v>
      </c>
      <c r="F37">
        <v>113.29999999998589</v>
      </c>
      <c r="G37" s="9">
        <v>1.1329999999998588</v>
      </c>
      <c r="I37" s="9">
        <v>1.0949999999999471</v>
      </c>
      <c r="J37" s="9">
        <v>1.1105000000000222</v>
      </c>
      <c r="K37" s="9">
        <v>1.2059999999999242</v>
      </c>
      <c r="L37" s="9">
        <v>1.1429999999995082</v>
      </c>
      <c r="M37" s="9">
        <v>3.572500000000153</v>
      </c>
      <c r="N37" s="9">
        <v>1.1099999999999814</v>
      </c>
      <c r="O37" s="9">
        <v>1.1265000000000049</v>
      </c>
    </row>
    <row r="38" spans="1:15" x14ac:dyDescent="0.25">
      <c r="A38" s="7">
        <v>46127</v>
      </c>
      <c r="C38">
        <v>109.00000000000314</v>
      </c>
      <c r="E38">
        <v>133.99999999999946</v>
      </c>
      <c r="F38">
        <v>114.59999999998804</v>
      </c>
      <c r="G38" s="9">
        <v>1.1459999999998804</v>
      </c>
      <c r="I38" s="9">
        <v>1.120000000000039</v>
      </c>
      <c r="J38" s="9">
        <v>1.1136000000000235</v>
      </c>
      <c r="K38" s="9">
        <v>1.2144999999999788</v>
      </c>
      <c r="L38" s="9">
        <v>1.1609999999997871</v>
      </c>
      <c r="M38" s="9">
        <v>3.6049999999999924</v>
      </c>
      <c r="N38" s="9">
        <v>1.1399999999999366</v>
      </c>
      <c r="O38" s="9">
        <v>1.1313000000000115</v>
      </c>
    </row>
    <row r="39" spans="1:15" x14ac:dyDescent="0.25">
      <c r="A39" s="7">
        <v>46128</v>
      </c>
      <c r="C39">
        <v>109.24999999999714</v>
      </c>
      <c r="E39">
        <v>134.04999999999671</v>
      </c>
      <c r="F39">
        <v>114.74999999999494</v>
      </c>
      <c r="G39" s="9">
        <v>1.1474999999999493</v>
      </c>
      <c r="I39" s="9">
        <v>1.1020000000000651</v>
      </c>
      <c r="J39" s="9">
        <v>1.1198999999999806</v>
      </c>
      <c r="K39" s="9">
        <v>1.2180000000000542</v>
      </c>
      <c r="L39" s="9">
        <v>1.1649999999997898</v>
      </c>
      <c r="M39" s="9">
        <v>3.6260000000001482</v>
      </c>
      <c r="N39" s="9">
        <v>1.1199999999999937</v>
      </c>
      <c r="O39" s="9">
        <v>1.1339999999999877</v>
      </c>
    </row>
    <row r="40" spans="1:15" x14ac:dyDescent="0.25">
      <c r="A40" s="7">
        <v>46129</v>
      </c>
      <c r="C40">
        <v>110.19999999999675</v>
      </c>
      <c r="E40">
        <v>135.29999999999822</v>
      </c>
      <c r="F40">
        <v>115.74999999999098</v>
      </c>
      <c r="G40" s="9">
        <v>1.1574999999999098</v>
      </c>
      <c r="I40" s="9">
        <v>1.1169999999962306</v>
      </c>
      <c r="J40" s="9">
        <v>1.1299999999999839</v>
      </c>
      <c r="K40" s="9">
        <v>1.226499999999993</v>
      </c>
      <c r="L40" s="9">
        <v>1.1819999999999331</v>
      </c>
      <c r="M40" s="9">
        <v>3.6799999999879862</v>
      </c>
      <c r="N40" s="9">
        <v>1.1299999999948867</v>
      </c>
      <c r="O40" s="9">
        <v>1.1479999999999899</v>
      </c>
    </row>
    <row r="41" spans="1:15" x14ac:dyDescent="0.25">
      <c r="A41" s="7">
        <v>46132</v>
      </c>
      <c r="C41">
        <v>110.40000000000272</v>
      </c>
      <c r="E41">
        <v>136.04999999999694</v>
      </c>
      <c r="F41">
        <v>115.84999999999677</v>
      </c>
      <c r="G41" s="9">
        <v>1.1584999999999677</v>
      </c>
      <c r="I41" s="9">
        <v>1.116999999999146</v>
      </c>
      <c r="J41" s="9">
        <v>1.1294000000000219</v>
      </c>
      <c r="K41" s="9">
        <v>1.2284999999999924</v>
      </c>
      <c r="L41" s="9">
        <v>1.1780000000000383</v>
      </c>
      <c r="M41" s="9">
        <v>3.6700000000001189</v>
      </c>
      <c r="N41" s="9">
        <v>1.1349999999997946</v>
      </c>
      <c r="O41" s="9">
        <v>1.1478999999999802</v>
      </c>
    </row>
    <row r="42" spans="1:15" x14ac:dyDescent="0.25">
      <c r="A42" s="7">
        <v>46133</v>
      </c>
      <c r="C42">
        <v>110.50000000000686</v>
      </c>
      <c r="E42">
        <v>135.69999999999905</v>
      </c>
      <c r="F42">
        <v>116.09999999999697</v>
      </c>
      <c r="G42" s="9">
        <v>1.1609999999999696</v>
      </c>
      <c r="I42" s="9">
        <v>1.1159999999922972</v>
      </c>
      <c r="J42" s="9">
        <v>1.125499999999974</v>
      </c>
      <c r="K42" s="9">
        <v>1.2284999999999893</v>
      </c>
      <c r="L42" s="9">
        <v>1.1794999999999423</v>
      </c>
      <c r="M42" s="9">
        <v>3.6600000000000579</v>
      </c>
      <c r="N42" s="9">
        <v>1.1374999999934998</v>
      </c>
      <c r="O42" s="9">
        <v>1.1485000000000216</v>
      </c>
    </row>
    <row r="43" spans="1:15" x14ac:dyDescent="0.25">
      <c r="A43" s="7">
        <v>46134</v>
      </c>
      <c r="C43">
        <v>110.79999999999932</v>
      </c>
      <c r="E43">
        <v>135.99999999999736</v>
      </c>
      <c r="F43">
        <v>115.94999999999833</v>
      </c>
      <c r="G43" s="9">
        <v>1.1594999999999833</v>
      </c>
      <c r="I43" s="9">
        <v>1.110000000000021</v>
      </c>
      <c r="J43" s="9">
        <v>1.128399999999997</v>
      </c>
      <c r="K43" s="9">
        <v>1.2300000000000901</v>
      </c>
      <c r="L43" s="9">
        <v>1.1824999999998469</v>
      </c>
      <c r="M43" s="9">
        <v>3.66749999999996</v>
      </c>
      <c r="N43" s="9">
        <v>1.1299999999934778</v>
      </c>
      <c r="O43" s="9">
        <v>1.1477499999999956</v>
      </c>
    </row>
    <row r="44" spans="1:15" x14ac:dyDescent="0.25">
      <c r="A44" s="7">
        <v>46135</v>
      </c>
      <c r="C44">
        <v>110.69999999999899</v>
      </c>
      <c r="E44">
        <v>135.29999999999785</v>
      </c>
      <c r="F44">
        <v>115.64999999999405</v>
      </c>
      <c r="G44" s="9">
        <v>1.1564999999999406</v>
      </c>
      <c r="I44" s="9">
        <v>1.1109999999999829</v>
      </c>
      <c r="J44" s="9">
        <v>1.1240000000000174</v>
      </c>
      <c r="K44" s="9">
        <v>1.2254999999999314</v>
      </c>
      <c r="L44" s="9">
        <v>1.1749999999999348</v>
      </c>
      <c r="M44" s="9">
        <v>3.643499999999833</v>
      </c>
      <c r="N44" s="9">
        <v>1.1299999999999444</v>
      </c>
      <c r="O44" s="9">
        <v>1.137999999999977</v>
      </c>
    </row>
    <row r="45" spans="1:15" x14ac:dyDescent="0.25">
      <c r="A45" s="7">
        <v>46136</v>
      </c>
      <c r="C45">
        <v>110.29999999999556</v>
      </c>
      <c r="E45">
        <v>135.25000000000549</v>
      </c>
      <c r="F45">
        <v>115.49999999999206</v>
      </c>
      <c r="G45" s="9">
        <v>1.1549999999999205</v>
      </c>
      <c r="I45" s="9">
        <v>1.1125000000000396</v>
      </c>
      <c r="J45" s="9">
        <v>1.1254999999999793</v>
      </c>
      <c r="K45" s="9">
        <v>1.2264999999999966</v>
      </c>
      <c r="L45" s="9">
        <v>1.1654999999998201</v>
      </c>
      <c r="M45" s="9">
        <v>3.6394999999999591</v>
      </c>
      <c r="N45" s="9">
        <v>1.128999999999994</v>
      </c>
      <c r="O45" s="9">
        <v>1.1409999999999791</v>
      </c>
    </row>
    <row r="46" spans="1:15" x14ac:dyDescent="0.25">
      <c r="A46" s="7">
        <v>46139</v>
      </c>
      <c r="C46">
        <v>110.4999999999927</v>
      </c>
      <c r="E46">
        <v>134.50000000000492</v>
      </c>
      <c r="F46">
        <v>115.2499999999949</v>
      </c>
      <c r="G46" s="9">
        <v>1.152499999999949</v>
      </c>
      <c r="I46" s="9">
        <v>1.109500000000043</v>
      </c>
      <c r="J46" s="9">
        <v>1.1253900000000177</v>
      </c>
      <c r="K46" s="9">
        <v>1.2215000000000216</v>
      </c>
      <c r="L46" s="9">
        <v>1.1649999999999527</v>
      </c>
      <c r="M46" s="9">
        <v>3.6289999999999232</v>
      </c>
      <c r="N46" s="9">
        <v>1.1300000000000365</v>
      </c>
      <c r="O46" s="9">
        <v>1.1399599999999728</v>
      </c>
    </row>
    <row r="47" spans="1:15" x14ac:dyDescent="0.25">
      <c r="A47" s="7">
        <v>46140</v>
      </c>
      <c r="C47">
        <v>110.29999999999545</v>
      </c>
      <c r="E47">
        <v>135.00000000000173</v>
      </c>
      <c r="F47">
        <v>115.44999999999435</v>
      </c>
      <c r="G47" s="9">
        <v>1.1544999999999435</v>
      </c>
      <c r="I47" s="9">
        <v>1.1129999999999858</v>
      </c>
      <c r="J47" s="9">
        <v>1.1280000000000185</v>
      </c>
      <c r="K47" s="9">
        <v>1.2250000000000234</v>
      </c>
      <c r="L47" s="9">
        <v>1.1899999999998958</v>
      </c>
      <c r="M47" s="9">
        <v>3.6325000000001535</v>
      </c>
      <c r="N47" s="9">
        <v>1.132000000000049</v>
      </c>
      <c r="O47" s="9">
        <v>1.1374999999999995</v>
      </c>
    </row>
    <row r="48" spans="1:15" x14ac:dyDescent="0.25">
      <c r="A48" s="7">
        <v>46141</v>
      </c>
      <c r="C48">
        <v>110.4000000000002</v>
      </c>
      <c r="E48">
        <v>134.39000000000016</v>
      </c>
      <c r="F48">
        <v>115.34999999999246</v>
      </c>
      <c r="G48" s="9">
        <v>1.1534999999999247</v>
      </c>
      <c r="I48" s="9">
        <v>1.1289999999945186</v>
      </c>
      <c r="J48" s="9">
        <v>1.1274999999999979</v>
      </c>
      <c r="K48" s="9">
        <v>1.2154999999999605</v>
      </c>
      <c r="L48" s="9">
        <v>1.1704999999999357</v>
      </c>
      <c r="M48" s="9">
        <v>3.5849999999999933</v>
      </c>
      <c r="N48" s="9">
        <v>1.1289999999999845</v>
      </c>
      <c r="O48" s="9">
        <v>1.1289999999999949</v>
      </c>
    </row>
    <row r="49" spans="1:15" x14ac:dyDescent="0.25">
      <c r="A49" s="7">
        <v>46142</v>
      </c>
      <c r="C49">
        <v>110.99999999999972</v>
      </c>
      <c r="E49">
        <v>134.99999999999784</v>
      </c>
      <c r="F49">
        <v>116.39999999999311</v>
      </c>
      <c r="G49" s="9">
        <v>1.1639999999999311</v>
      </c>
      <c r="I49" s="9">
        <v>1.1249999999999212</v>
      </c>
      <c r="J49" s="9">
        <v>1.133000000000002</v>
      </c>
      <c r="K49" s="9">
        <v>1.2245000000000259</v>
      </c>
      <c r="L49" s="9">
        <v>1.195000000000052</v>
      </c>
      <c r="M49" s="9">
        <v>3.5909999999996751</v>
      </c>
      <c r="N49" s="9">
        <v>1.1345000000000405</v>
      </c>
      <c r="O49" s="9">
        <v>1.1309999999999985</v>
      </c>
    </row>
    <row r="50" spans="1:15" x14ac:dyDescent="0.25">
      <c r="A50" s="7">
        <v>46146</v>
      </c>
      <c r="C50">
        <v>110.44999999999776</v>
      </c>
      <c r="E50">
        <v>135.28999999999888</v>
      </c>
      <c r="F50">
        <v>115.94999999999341</v>
      </c>
      <c r="G50" s="9">
        <v>1.159499999999934</v>
      </c>
      <c r="I50" s="9">
        <v>1.1250000000000029</v>
      </c>
      <c r="J50" s="9">
        <v>1.1294999999999791</v>
      </c>
      <c r="K50" s="9">
        <v>1.2262000000000133</v>
      </c>
      <c r="L50" s="9">
        <v>1.1890000000000018</v>
      </c>
      <c r="M50" s="9">
        <v>3.6185000000001999</v>
      </c>
      <c r="N50" s="9">
        <v>1.1350000000000475</v>
      </c>
      <c r="O50" s="9">
        <v>1.1348999999999807</v>
      </c>
    </row>
    <row r="51" spans="1:15" x14ac:dyDescent="0.25">
      <c r="A51" s="7">
        <v>46147</v>
      </c>
      <c r="C51">
        <v>110.7999999999989</v>
      </c>
      <c r="E51">
        <v>135.14000000000161</v>
      </c>
      <c r="F51">
        <v>115.40999999998883</v>
      </c>
      <c r="G51" s="9">
        <v>1.1540999999998882</v>
      </c>
      <c r="I51" s="9">
        <v>1.1104999999999505</v>
      </c>
      <c r="J51" s="9">
        <v>1.1270100000000043</v>
      </c>
      <c r="K51" s="9">
        <v>1.2269999999999843</v>
      </c>
      <c r="L51" s="9">
        <v>1.1834999999999101</v>
      </c>
      <c r="M51" s="9">
        <v>3.6385000000000192</v>
      </c>
      <c r="N51" s="9">
        <v>1.1409999999999991</v>
      </c>
      <c r="O51" s="9">
        <v>1.1387999999999905</v>
      </c>
    </row>
    <row r="52" spans="1:15" x14ac:dyDescent="0.25">
      <c r="A52" s="7">
        <v>46148</v>
      </c>
      <c r="C52">
        <v>110.90000000000208</v>
      </c>
      <c r="E52">
        <v>135.70000000000155</v>
      </c>
      <c r="F52">
        <v>115.79999999999897</v>
      </c>
      <c r="G52" s="9">
        <v>1.1579999999999897</v>
      </c>
      <c r="I52" s="9">
        <v>1.1124999999999903</v>
      </c>
      <c r="J52" s="9">
        <v>1.1375000000000077</v>
      </c>
      <c r="K52" s="9">
        <v>1.2323999999999626</v>
      </c>
      <c r="L52" s="9">
        <v>1.1829999999998806</v>
      </c>
      <c r="M52" s="9">
        <v>3.6814999999997435</v>
      </c>
      <c r="N52" s="9">
        <v>1.1385000000000418</v>
      </c>
      <c r="O52" s="9">
        <v>1.1409999999999989</v>
      </c>
    </row>
    <row r="53" spans="1:15" x14ac:dyDescent="0.25">
      <c r="A53" s="7">
        <v>46149</v>
      </c>
      <c r="C53">
        <v>111.15000000000531</v>
      </c>
      <c r="E53">
        <v>136.19999999999476</v>
      </c>
      <c r="F53">
        <v>116.4999999999971</v>
      </c>
      <c r="G53" s="9">
        <v>1.1649999999999709</v>
      </c>
      <c r="I53" s="9">
        <v>1.1150000000000697</v>
      </c>
      <c r="J53" s="9">
        <v>1.1385000000000032</v>
      </c>
      <c r="K53" s="9">
        <v>1.2345000000000192</v>
      </c>
      <c r="L53" s="9">
        <v>1.1814999999999736</v>
      </c>
      <c r="M53" s="9">
        <v>3.6824999999999299</v>
      </c>
      <c r="N53" s="9">
        <v>1.1445000000000323</v>
      </c>
      <c r="O53" s="9">
        <v>1.1470099999999774</v>
      </c>
    </row>
    <row r="54" spans="1:15" x14ac:dyDescent="0.25">
      <c r="A54" s="7">
        <v>46150</v>
      </c>
      <c r="C54">
        <v>111.50000000000003</v>
      </c>
      <c r="E54">
        <v>136.59999999999917</v>
      </c>
      <c r="F54">
        <v>116.89999999999712</v>
      </c>
      <c r="G54" s="9">
        <v>1.1689999999999712</v>
      </c>
      <c r="I54" s="9">
        <v>1.1230000000000686</v>
      </c>
      <c r="J54" s="9">
        <v>1.1410000000000238</v>
      </c>
      <c r="K54" s="9">
        <v>1.2383899999999399</v>
      </c>
      <c r="L54" s="9">
        <v>1.2050000000000294</v>
      </c>
      <c r="M54" s="9">
        <v>3.6849999999998762</v>
      </c>
      <c r="N54" s="9">
        <v>1.1524999999999681</v>
      </c>
      <c r="O54" s="9">
        <v>1.1539999999999726</v>
      </c>
    </row>
    <row r="55" spans="1:15" x14ac:dyDescent="0.25">
      <c r="A55" s="7">
        <v>46153</v>
      </c>
      <c r="C55">
        <v>111.80000000000103</v>
      </c>
      <c r="E55">
        <v>137.1300000000023</v>
      </c>
      <c r="F55">
        <v>117.2799999999897</v>
      </c>
      <c r="G55" s="9">
        <v>1.172799999999897</v>
      </c>
      <c r="I55" s="9">
        <v>1.1349999999999283</v>
      </c>
      <c r="J55" s="9">
        <v>1.1460000000000159</v>
      </c>
      <c r="K55" s="9">
        <v>1.2444999999999686</v>
      </c>
      <c r="L55" s="9">
        <v>1.19399999999994</v>
      </c>
      <c r="M55" s="9">
        <v>3.7349999999999941</v>
      </c>
      <c r="N55" s="9">
        <v>1.1645000000000527</v>
      </c>
      <c r="O55" s="9">
        <v>1.1534999999999949</v>
      </c>
    </row>
    <row r="56" spans="1:15" x14ac:dyDescent="0.25">
      <c r="A56" s="7">
        <v>46154</v>
      </c>
      <c r="C56">
        <v>112.20000000000037</v>
      </c>
      <c r="E56">
        <v>137.11000000000124</v>
      </c>
      <c r="F56">
        <v>117.19999999999644</v>
      </c>
      <c r="G56" s="9">
        <v>1.1719999999999644</v>
      </c>
      <c r="I56" s="9">
        <v>1.1449999999956426</v>
      </c>
      <c r="J56" s="9">
        <v>1.143049999999999</v>
      </c>
      <c r="K56" s="9">
        <v>1.244400000000033</v>
      </c>
      <c r="L56" s="9">
        <v>1.1960000000000077</v>
      </c>
      <c r="M56" s="9">
        <v>3.7299999999998055</v>
      </c>
      <c r="N56" s="9">
        <v>1.1645000000000121</v>
      </c>
      <c r="O56" s="9">
        <v>1.1540000000000215</v>
      </c>
    </row>
    <row r="57" spans="1:15" x14ac:dyDescent="0.25">
      <c r="A57" s="7">
        <v>46155</v>
      </c>
      <c r="C57">
        <v>112.15000000000126</v>
      </c>
      <c r="E57">
        <v>137.4979999999918</v>
      </c>
      <c r="F57">
        <v>117.49999999999643</v>
      </c>
      <c r="G57" s="9">
        <v>1.1749999999999643</v>
      </c>
      <c r="I57" s="9">
        <v>1.1395000000000084</v>
      </c>
      <c r="J57" s="9">
        <v>1.1475000000000135</v>
      </c>
      <c r="K57" s="9">
        <v>1.2449999999999917</v>
      </c>
      <c r="L57" s="9">
        <v>1.1940000000000046</v>
      </c>
      <c r="M57" s="9">
        <v>3.7284999999997122</v>
      </c>
      <c r="N57" s="9">
        <v>1.1644999999999777</v>
      </c>
      <c r="O57" s="9">
        <v>1.1549999999999958</v>
      </c>
    </row>
    <row r="58" spans="1:15" x14ac:dyDescent="0.25">
      <c r="A58" s="7">
        <v>46156</v>
      </c>
      <c r="C58">
        <v>112.60000000000352</v>
      </c>
      <c r="E58">
        <v>138.00000000000119</v>
      </c>
      <c r="F58">
        <v>118.48000000000083</v>
      </c>
      <c r="G58" s="9">
        <v>1.1848000000000083</v>
      </c>
      <c r="I58" s="9">
        <v>1.135999999999932</v>
      </c>
      <c r="J58" s="9">
        <v>1.1519999999999697</v>
      </c>
      <c r="K58" s="9">
        <v>1.2516100000000099</v>
      </c>
      <c r="L58" s="9">
        <v>1.209999999999964</v>
      </c>
      <c r="M58" s="9">
        <v>3.7360000000002209</v>
      </c>
      <c r="N58" s="9">
        <v>1.1599999999999886</v>
      </c>
      <c r="O58" s="9">
        <v>1.1555000000000009</v>
      </c>
    </row>
    <row r="59" spans="1:15" x14ac:dyDescent="0.25">
      <c r="A59" s="7">
        <v>46157</v>
      </c>
      <c r="C59">
        <v>112.6499999999979</v>
      </c>
      <c r="E59">
        <v>138.10000000000443</v>
      </c>
      <c r="F59">
        <v>118.64999999999289</v>
      </c>
      <c r="G59" s="9">
        <v>1.1864999999999288</v>
      </c>
      <c r="I59" s="9">
        <v>1.1350000000000104</v>
      </c>
      <c r="J59" s="9">
        <v>1.1564899999999947</v>
      </c>
      <c r="K59" s="9">
        <v>1.2545000000000366</v>
      </c>
      <c r="L59" s="9">
        <v>1.2139999999999558</v>
      </c>
      <c r="M59" s="9">
        <v>3.7454999999997067</v>
      </c>
      <c r="N59" s="9">
        <v>1.1609999999994896</v>
      </c>
      <c r="O59" s="9">
        <v>1.1584999999999721</v>
      </c>
    </row>
    <row r="60" spans="1:15" x14ac:dyDescent="0.25">
      <c r="A60" s="7">
        <v>46160</v>
      </c>
      <c r="C60">
        <v>112.84999999999911</v>
      </c>
      <c r="E60">
        <v>138.4000000000035</v>
      </c>
      <c r="F60">
        <v>118.4499999999957</v>
      </c>
      <c r="G60" s="9">
        <v>1.184499999999957</v>
      </c>
      <c r="I60" s="9">
        <v>1.1325000000000338</v>
      </c>
      <c r="J60" s="9">
        <v>1.1559800000000222</v>
      </c>
      <c r="K60" s="9">
        <v>1.2525000000000128</v>
      </c>
      <c r="L60" s="9">
        <v>1.2149999999999803</v>
      </c>
      <c r="M60" s="9">
        <v>3.7479999999999656</v>
      </c>
      <c r="N60" s="9">
        <v>1.1600000000000166</v>
      </c>
      <c r="O60" s="9">
        <v>1.1604000000000068</v>
      </c>
    </row>
    <row r="61" spans="1:15" x14ac:dyDescent="0.25">
      <c r="A61" s="7">
        <v>46161</v>
      </c>
      <c r="C61">
        <v>112.95000000000435</v>
      </c>
      <c r="E61">
        <v>138.41199999999841</v>
      </c>
      <c r="F61">
        <v>118.54999999999771</v>
      </c>
      <c r="G61" s="9">
        <v>1.1854999999999771</v>
      </c>
      <c r="I61" s="9">
        <v>1.1349999999999771</v>
      </c>
      <c r="J61" s="9">
        <v>1.1531000000000042</v>
      </c>
      <c r="K61" s="9">
        <v>1.2519999999999556</v>
      </c>
      <c r="L61" s="9">
        <v>1.2174899999999971</v>
      </c>
      <c r="M61" s="9">
        <v>3.7389999999999355</v>
      </c>
      <c r="N61" s="9">
        <v>1.1619999999999262</v>
      </c>
      <c r="O61" s="9">
        <v>1.164499999999993</v>
      </c>
    </row>
    <row r="62" spans="1:15" x14ac:dyDescent="0.25">
      <c r="A62" s="7">
        <v>46162</v>
      </c>
      <c r="C62">
        <v>113.44999999999901</v>
      </c>
      <c r="E62">
        <v>138.47000000000398</v>
      </c>
      <c r="F62">
        <v>118.49999999999639</v>
      </c>
      <c r="G62" s="9">
        <v>1.1849999999999639</v>
      </c>
      <c r="I62" s="9">
        <v>1.1349999999999849</v>
      </c>
      <c r="J62" s="9">
        <v>1.1544999999999981</v>
      </c>
      <c r="K62" s="9">
        <v>1.2520000000000089</v>
      </c>
      <c r="L62" s="9">
        <v>1.2200000000000226</v>
      </c>
      <c r="M62" s="9">
        <v>3.7240000000002205</v>
      </c>
      <c r="N62" s="9">
        <v>1.163000000000058</v>
      </c>
      <c r="O62" s="9">
        <v>1.1655000000000131</v>
      </c>
    </row>
    <row r="63" spans="1:15" x14ac:dyDescent="0.25">
      <c r="A63" s="7">
        <v>46163</v>
      </c>
      <c r="C63">
        <v>113.99999999999595</v>
      </c>
      <c r="E63">
        <v>138.61800000000457</v>
      </c>
      <c r="F63">
        <v>118.14999999999787</v>
      </c>
      <c r="G63" s="9">
        <v>1.1814999999999787</v>
      </c>
      <c r="I63" s="9">
        <v>1.1349999999999929</v>
      </c>
      <c r="J63" s="9">
        <v>1.1572000000000076</v>
      </c>
      <c r="K63" s="9">
        <v>1.252900000000003</v>
      </c>
      <c r="L63" s="9">
        <v>1.2225000000000454</v>
      </c>
      <c r="M63" s="9">
        <v>3.7234999999998486</v>
      </c>
      <c r="N63" s="9">
        <v>1.154999999999996</v>
      </c>
      <c r="O63" s="9">
        <v>1.1669999999999983</v>
      </c>
    </row>
    <row r="64" spans="1:15" x14ac:dyDescent="0.25">
      <c r="A64" s="7">
        <v>46164</v>
      </c>
      <c r="C64">
        <v>114.35000000000058</v>
      </c>
      <c r="E64">
        <v>138.94999999999541</v>
      </c>
      <c r="F64">
        <v>118.7989999999967</v>
      </c>
      <c r="G64" s="9">
        <v>1.187989999999967</v>
      </c>
      <c r="I64" s="9">
        <v>1.1360000000000046</v>
      </c>
      <c r="J64" s="9">
        <v>1.1585000000000016</v>
      </c>
      <c r="K64" s="9">
        <v>1.2575000000000129</v>
      </c>
      <c r="L64" s="9">
        <v>1.2184999999999764</v>
      </c>
      <c r="M64" s="9">
        <v>3.7205000000000528</v>
      </c>
      <c r="N64" s="9">
        <v>1.1604999999999952</v>
      </c>
      <c r="O64" s="9">
        <v>1.1699999999999939</v>
      </c>
    </row>
    <row r="65" spans="1:15" x14ac:dyDescent="0.25">
      <c r="A65" s="7">
        <v>46168</v>
      </c>
      <c r="C65">
        <v>114.50000000000176</v>
      </c>
      <c r="E65">
        <v>139.18599999999876</v>
      </c>
      <c r="F65">
        <v>118.94999999999614</v>
      </c>
      <c r="G65" s="9">
        <v>1.1894999999999614</v>
      </c>
      <c r="I65" s="9">
        <v>1.1370000000000622</v>
      </c>
      <c r="J65" s="9">
        <v>1.1595000000000015</v>
      </c>
      <c r="K65" s="9">
        <v>1.2599999999999236</v>
      </c>
      <c r="L65" s="9">
        <v>1.2199999999999536</v>
      </c>
      <c r="M65" s="9">
        <v>3.7319999999998923</v>
      </c>
      <c r="N65" s="9">
        <v>1.164000000000021</v>
      </c>
      <c r="O65" s="9">
        <v>1.1714999999999955</v>
      </c>
    </row>
    <row r="66" spans="1:15" x14ac:dyDescent="0.25">
      <c r="A66" s="7">
        <v>46169</v>
      </c>
      <c r="C66">
        <v>114.6000000000034</v>
      </c>
      <c r="E66">
        <v>138.88000000000235</v>
      </c>
      <c r="F66">
        <v>119.19999999999833</v>
      </c>
      <c r="G66" s="9">
        <v>1.1919999999999833</v>
      </c>
      <c r="I66" s="9">
        <v>1.1370000000000469</v>
      </c>
      <c r="J66" s="9">
        <v>1.1571299999999836</v>
      </c>
      <c r="K66" s="9">
        <v>1.2605000000000148</v>
      </c>
      <c r="L66" s="9">
        <v>1.2273000000000012</v>
      </c>
      <c r="M66" s="9">
        <v>3.7365000000002211</v>
      </c>
      <c r="N66" s="9">
        <v>1.1535000000000286</v>
      </c>
      <c r="O66" s="9">
        <v>1.172499999999995</v>
      </c>
    </row>
    <row r="67" spans="1:15" x14ac:dyDescent="0.25">
      <c r="A67" s="7">
        <v>46170</v>
      </c>
      <c r="C67">
        <v>114.55000000000256</v>
      </c>
      <c r="E67">
        <v>139.53999999999965</v>
      </c>
      <c r="F67">
        <v>119.1899999999993</v>
      </c>
      <c r="G67" s="9">
        <v>1.1918999999999931</v>
      </c>
      <c r="I67" s="9">
        <v>1.1399999999999935</v>
      </c>
      <c r="J67" s="9">
        <v>1.1600000000000212</v>
      </c>
      <c r="K67" s="9">
        <v>1.2629999999999006</v>
      </c>
      <c r="L67" s="9">
        <v>1.2263100000000533</v>
      </c>
      <c r="M67" s="9">
        <v>3.7380000000000906</v>
      </c>
      <c r="N67" s="9">
        <v>1.1595000000000197</v>
      </c>
      <c r="O67" s="9">
        <v>1.172950000000003</v>
      </c>
    </row>
    <row r="68" spans="1:15" x14ac:dyDescent="0.25">
      <c r="A68" s="7">
        <v>46171</v>
      </c>
      <c r="C68">
        <v>114.8499999999985</v>
      </c>
      <c r="E68">
        <v>139.8499999999988</v>
      </c>
      <c r="F68">
        <v>119.89000000000529</v>
      </c>
      <c r="G68" s="9">
        <v>1.1989000000000529</v>
      </c>
      <c r="I68" s="9">
        <v>1.1434999999999684</v>
      </c>
      <c r="J68" s="9">
        <v>1.1654899999999877</v>
      </c>
      <c r="K68" s="9">
        <v>1.2688999999999759</v>
      </c>
      <c r="L68" s="9">
        <v>1.2289999999999006</v>
      </c>
      <c r="M68" s="9">
        <v>3.7754999999998859</v>
      </c>
      <c r="N68" s="9">
        <v>1.1699999999999424</v>
      </c>
      <c r="O68" s="9">
        <v>1.176999999999998</v>
      </c>
    </row>
    <row r="69" spans="1:15" x14ac:dyDescent="0.25">
      <c r="A69" s="7">
        <v>46174</v>
      </c>
      <c r="C69">
        <v>115.09999999999874</v>
      </c>
      <c r="E69">
        <v>139.99000000000018</v>
      </c>
      <c r="F69">
        <v>119.83999999999679</v>
      </c>
      <c r="G69" s="9">
        <v>1.1983999999999679</v>
      </c>
      <c r="I69" s="9">
        <v>1.1460000000000592</v>
      </c>
      <c r="J69" s="9">
        <v>1.1649999999999878</v>
      </c>
      <c r="K69" s="9">
        <v>1.2689999999999975</v>
      </c>
      <c r="L69" s="9">
        <v>1.2309999999999655</v>
      </c>
      <c r="M69" s="9">
        <v>3.8094999999998844</v>
      </c>
      <c r="N69" s="9">
        <v>1.1680000000000126</v>
      </c>
      <c r="O69" s="9">
        <v>1.1780000000000241</v>
      </c>
    </row>
    <row r="70" spans="1:15" x14ac:dyDescent="0.25">
      <c r="A70" s="7">
        <v>46175</v>
      </c>
      <c r="C70">
        <v>115.10000000000218</v>
      </c>
      <c r="E70">
        <v>139.74999999999656</v>
      </c>
      <c r="F70">
        <v>119.60500000000064</v>
      </c>
      <c r="G70" s="9">
        <v>1.1960500000000065</v>
      </c>
      <c r="I70" s="9">
        <v>1.1509999999999945</v>
      </c>
      <c r="J70" s="9">
        <v>1.168000000000009</v>
      </c>
      <c r="K70" s="9">
        <v>1.2655500000000262</v>
      </c>
      <c r="L70" s="9">
        <v>1.232999999999971</v>
      </c>
      <c r="M70" s="9">
        <v>3.7665000000001614</v>
      </c>
      <c r="N70" s="9">
        <v>1.1690000000000798</v>
      </c>
      <c r="O70" s="9">
        <v>1.1781500000000222</v>
      </c>
    </row>
    <row r="71" spans="1:15" x14ac:dyDescent="0.25">
      <c r="A71" s="7">
        <v>46176</v>
      </c>
      <c r="C71">
        <v>114.84999999999847</v>
      </c>
      <c r="E71">
        <v>138.8509999999967</v>
      </c>
      <c r="F71">
        <v>119.18000000000302</v>
      </c>
      <c r="G71" s="9">
        <v>1.1918000000000302</v>
      </c>
      <c r="I71" s="9">
        <v>1.1495000000000184</v>
      </c>
      <c r="J71" s="9">
        <v>1.1629999999999938</v>
      </c>
      <c r="K71" s="9">
        <v>1.2624900000000039</v>
      </c>
      <c r="L71" s="9">
        <v>1.232889999999998</v>
      </c>
      <c r="M71" s="9">
        <v>3.7630000000000341</v>
      </c>
      <c r="N71" s="9">
        <v>1.1674999999999773</v>
      </c>
      <c r="O71" s="9">
        <v>1.1769999999999967</v>
      </c>
    </row>
    <row r="72" spans="1:15" x14ac:dyDescent="0.25">
      <c r="A72" s="7">
        <v>46177</v>
      </c>
      <c r="C72">
        <v>114.79999999999721</v>
      </c>
      <c r="E72">
        <v>139.34999999999917</v>
      </c>
      <c r="F72">
        <v>119.5000000000032</v>
      </c>
      <c r="G72" s="9">
        <v>1.195000000000032</v>
      </c>
      <c r="I72" s="9">
        <v>1.1510000000000309</v>
      </c>
      <c r="J72" s="9">
        <v>1.1669999999999974</v>
      </c>
      <c r="K72" s="9">
        <v>1.2662000000000624</v>
      </c>
      <c r="L72" s="9">
        <v>1.2265000000000104</v>
      </c>
      <c r="M72" s="9">
        <v>3.8200000000000416</v>
      </c>
      <c r="N72" s="9">
        <v>1.1709999999999228</v>
      </c>
      <c r="O72" s="9">
        <v>1.1776000000000135</v>
      </c>
    </row>
    <row r="73" spans="1:15" x14ac:dyDescent="0.25">
      <c r="A73" s="7">
        <v>46178</v>
      </c>
      <c r="C73">
        <v>114.99999999999977</v>
      </c>
      <c r="E73">
        <v>139.60000000000204</v>
      </c>
      <c r="F73">
        <v>119.74999999999282</v>
      </c>
      <c r="G73" s="9">
        <v>1.1974999999999283</v>
      </c>
      <c r="I73" s="9">
        <v>1.1530000000000376</v>
      </c>
      <c r="J73" s="9">
        <v>1.1695499999999952</v>
      </c>
      <c r="K73" s="9">
        <v>1.2672000000000052</v>
      </c>
      <c r="L73" s="9">
        <v>1.2299999999999534</v>
      </c>
      <c r="M73" s="9">
        <v>3.7960000000003333</v>
      </c>
      <c r="N73" s="9">
        <v>1.1675000000000129</v>
      </c>
      <c r="O73" s="9">
        <v>1.1820000000000008</v>
      </c>
    </row>
    <row r="74" spans="1:15" x14ac:dyDescent="0.25">
      <c r="A74" s="7">
        <v>46181</v>
      </c>
      <c r="C74">
        <v>115.10000000000066</v>
      </c>
      <c r="E74">
        <v>139.64999999999506</v>
      </c>
      <c r="F74">
        <v>119.90000000000431</v>
      </c>
      <c r="G74" s="9">
        <v>1.1990000000000431</v>
      </c>
      <c r="I74" s="9">
        <v>1.1574999999999891</v>
      </c>
      <c r="J74" s="9">
        <v>1.1724999999999737</v>
      </c>
      <c r="K74" s="9">
        <v>1.2705000000000379</v>
      </c>
      <c r="L74" s="9">
        <v>1.2350000000000501</v>
      </c>
      <c r="M74" s="9">
        <v>3.7875000000000409</v>
      </c>
      <c r="N74" s="9">
        <v>1.1714999999999707</v>
      </c>
      <c r="O74" s="9">
        <v>1.1833999999999674</v>
      </c>
    </row>
    <row r="75" spans="1:15" x14ac:dyDescent="0.25">
      <c r="A75" s="7">
        <v>46182</v>
      </c>
      <c r="C75">
        <v>115.09999999999559</v>
      </c>
      <c r="E75">
        <v>140.34899999999513</v>
      </c>
      <c r="F75">
        <v>120.35000000000215</v>
      </c>
      <c r="G75" s="9">
        <v>1.2035000000000216</v>
      </c>
      <c r="I75" s="9">
        <v>1.160000000000077</v>
      </c>
      <c r="J75" s="9">
        <v>1.1725000000000083</v>
      </c>
      <c r="K75" s="9">
        <v>1.2738799999999886</v>
      </c>
      <c r="L75" s="9">
        <v>1.2389999999999979</v>
      </c>
      <c r="M75" s="9">
        <v>3.791000000000059</v>
      </c>
      <c r="N75" s="9">
        <v>1.1729999999999661</v>
      </c>
      <c r="O75" s="9">
        <v>1.1875000000000007</v>
      </c>
    </row>
    <row r="76" spans="1:15" x14ac:dyDescent="0.25">
      <c r="A76" s="7">
        <v>46183</v>
      </c>
      <c r="C76">
        <v>114.95000000000061</v>
      </c>
      <c r="E76">
        <v>140.9499999999947</v>
      </c>
      <c r="F76">
        <v>120.64899999999818</v>
      </c>
      <c r="G76" s="9">
        <v>1.2064899999999819</v>
      </c>
      <c r="I76" s="9">
        <v>1.1620000000000075</v>
      </c>
      <c r="J76" s="9">
        <v>1.1712999999999791</v>
      </c>
      <c r="K76" s="9">
        <v>1.2775000000000216</v>
      </c>
      <c r="L76" s="9">
        <v>1.2474999999999925</v>
      </c>
      <c r="M76" s="9">
        <v>3.7980000000002354</v>
      </c>
      <c r="N76" s="9">
        <v>1.1840000000000153</v>
      </c>
      <c r="O76" s="9">
        <v>1.1877500000000092</v>
      </c>
    </row>
    <row r="77" spans="1:15" x14ac:dyDescent="0.25">
      <c r="A77" s="7">
        <v>46184</v>
      </c>
      <c r="C77">
        <v>115.10000000000477</v>
      </c>
      <c r="E77">
        <v>141.50900000000058</v>
      </c>
      <c r="F77">
        <v>120.95999999999762</v>
      </c>
      <c r="G77" s="9">
        <v>1.2095999999999762</v>
      </c>
      <c r="I77" s="9">
        <v>1.1630000000000167</v>
      </c>
      <c r="J77" s="9">
        <v>1.1789999999999983</v>
      </c>
      <c r="K77" s="9">
        <v>1.2854999999999455</v>
      </c>
      <c r="L77" s="9">
        <v>1.2495000000000385</v>
      </c>
      <c r="M77" s="9">
        <v>3.7954999999997909</v>
      </c>
      <c r="N77" s="9">
        <v>1.1755000000000833</v>
      </c>
      <c r="O77" s="9">
        <v>1.1880000000000044</v>
      </c>
    </row>
    <row r="78" spans="1:15" x14ac:dyDescent="0.25">
      <c r="A78" s="7">
        <v>46185</v>
      </c>
      <c r="C78">
        <v>115.30000000000229</v>
      </c>
      <c r="E78">
        <v>141.94999999999959</v>
      </c>
      <c r="F78">
        <v>121.34999999999832</v>
      </c>
      <c r="G78" s="9">
        <v>1.2134999999999831</v>
      </c>
      <c r="I78" s="9">
        <v>1.1690000000000722</v>
      </c>
      <c r="J78" s="9">
        <v>1.1820100000000295</v>
      </c>
      <c r="K78" s="9">
        <v>1.287450000000018</v>
      </c>
      <c r="L78" s="9">
        <v>1.2500000000000171</v>
      </c>
      <c r="M78" s="9">
        <v>3.8235000000002897</v>
      </c>
      <c r="N78" s="9">
        <v>1.1849999999999508</v>
      </c>
      <c r="O78" s="9">
        <v>1.1865000000000112</v>
      </c>
    </row>
    <row r="79" spans="1:15" x14ac:dyDescent="0.25">
      <c r="A79" s="7">
        <v>46189</v>
      </c>
      <c r="C79">
        <v>115.35000000000197</v>
      </c>
      <c r="E79">
        <v>141.76200000000665</v>
      </c>
      <c r="F79">
        <v>121.79999999999784</v>
      </c>
      <c r="G79" s="9">
        <v>1.2179999999999784</v>
      </c>
      <c r="I79" s="9">
        <v>1.1679999999999808</v>
      </c>
      <c r="J79" s="9">
        <v>1.1847999999999781</v>
      </c>
      <c r="K79" s="9">
        <v>1.2905000000000069</v>
      </c>
      <c r="L79" s="9">
        <v>1.2365000000000157</v>
      </c>
      <c r="M79" s="9">
        <v>3.8140000000000964</v>
      </c>
      <c r="N79" s="9">
        <v>1.1835000000000291</v>
      </c>
      <c r="O79" s="9">
        <v>1.1845000000000103</v>
      </c>
    </row>
    <row r="80" spans="1:15" x14ac:dyDescent="0.25">
      <c r="A80" s="7">
        <v>46190</v>
      </c>
      <c r="C80">
        <v>115.5000000000004</v>
      </c>
      <c r="E80">
        <v>141.75000000000176</v>
      </c>
      <c r="F80">
        <v>121.65599999999712</v>
      </c>
      <c r="G80" s="9">
        <v>1.2165599999999712</v>
      </c>
      <c r="I80" s="9">
        <v>1.1680000000000101</v>
      </c>
      <c r="J80" s="9">
        <v>1.1799999999999968</v>
      </c>
      <c r="K80" s="9">
        <v>1.2883999999999463</v>
      </c>
      <c r="L80" s="9">
        <v>1.2409999999999612</v>
      </c>
      <c r="M80" s="9">
        <v>3.8065000000000286</v>
      </c>
      <c r="N80" s="9">
        <v>1.1849999999999887</v>
      </c>
      <c r="O80" s="9">
        <v>1.1819999999999902</v>
      </c>
    </row>
    <row r="81" spans="1:15" x14ac:dyDescent="0.25">
      <c r="A81" s="7">
        <v>46191</v>
      </c>
      <c r="C81">
        <v>115.8499999999955</v>
      </c>
      <c r="E81">
        <v>141.9799999999982</v>
      </c>
      <c r="F81">
        <v>121.74999999999589</v>
      </c>
      <c r="G81" s="9">
        <v>1.2174999999999589</v>
      </c>
      <c r="I81" s="9">
        <v>1.1600000000000243</v>
      </c>
      <c r="J81" s="9">
        <v>1.1798899999999848</v>
      </c>
      <c r="K81" s="9">
        <v>1.2885000000000004</v>
      </c>
      <c r="L81" s="9">
        <v>1.2400000000000091</v>
      </c>
      <c r="M81" s="9">
        <v>3.8024999999995703</v>
      </c>
      <c r="N81" s="9">
        <v>1.1890000000000815</v>
      </c>
      <c r="O81" s="9">
        <v>1.183500000000018</v>
      </c>
    </row>
    <row r="82" spans="1:15" x14ac:dyDescent="0.25">
      <c r="A82" s="7">
        <v>46192</v>
      </c>
      <c r="C82">
        <v>115.99999999999871</v>
      </c>
      <c r="E82">
        <v>142.20000000000212</v>
      </c>
      <c r="F82">
        <v>122.0999999999971</v>
      </c>
      <c r="G82" s="9">
        <v>1.220999999999971</v>
      </c>
      <c r="I82" s="9">
        <v>1.1599999999999582</v>
      </c>
      <c r="J82" s="9">
        <v>1.1814999999999976</v>
      </c>
      <c r="K82" s="9">
        <v>1.2919999999999319</v>
      </c>
      <c r="L82" s="9">
        <v>1.2499999999999445</v>
      </c>
      <c r="M82" s="9">
        <v>3.8040000000000389</v>
      </c>
      <c r="N82" s="9">
        <v>1.1819999999999333</v>
      </c>
      <c r="O82" s="9">
        <v>1.1830099999999724</v>
      </c>
    </row>
    <row r="83" spans="1:15" x14ac:dyDescent="0.25">
      <c r="A83" s="7">
        <v>46195</v>
      </c>
      <c r="C83">
        <v>115.89999999999915</v>
      </c>
      <c r="E83">
        <v>141.9000000000014</v>
      </c>
      <c r="F83">
        <v>122.21000000000063</v>
      </c>
      <c r="G83" s="9">
        <v>1.2221000000000064</v>
      </c>
      <c r="I83" s="9">
        <v>1.1650000000000262</v>
      </c>
      <c r="J83" s="9">
        <v>1.1820000000000173</v>
      </c>
      <c r="K83" s="9">
        <v>1.2920000000000176</v>
      </c>
      <c r="L83" s="9">
        <v>1.2499999999999964</v>
      </c>
      <c r="M83" s="9">
        <v>3.8054999999997468</v>
      </c>
      <c r="N83" s="9">
        <v>1.1900000000000241</v>
      </c>
      <c r="O83" s="9">
        <v>1.1850000000000214</v>
      </c>
    </row>
    <row r="84" spans="1:15" x14ac:dyDescent="0.25">
      <c r="A84" s="7">
        <v>46196</v>
      </c>
      <c r="C84">
        <v>115.79999999999939</v>
      </c>
      <c r="E84">
        <v>141.51899999999259</v>
      </c>
      <c r="F84">
        <v>121.49999999999996</v>
      </c>
      <c r="G84" s="9">
        <v>1.2149999999999996</v>
      </c>
      <c r="I84" s="9">
        <v>1.1600000000000272</v>
      </c>
      <c r="J84" s="9">
        <v>1.1750000000000003</v>
      </c>
      <c r="K84" s="9">
        <v>1.286500000000089</v>
      </c>
      <c r="L84" s="9">
        <v>1.245200000000007</v>
      </c>
      <c r="M84" s="9">
        <v>3.7839999999999971</v>
      </c>
      <c r="N84" s="9">
        <v>1.1844999999999828</v>
      </c>
      <c r="O84" s="9">
        <v>1.1839999999999786</v>
      </c>
    </row>
    <row r="85" spans="1:15" x14ac:dyDescent="0.25">
      <c r="A85" s="7">
        <v>46197</v>
      </c>
      <c r="C85">
        <v>115.85000000000105</v>
      </c>
      <c r="E85">
        <v>141.34999999999647</v>
      </c>
      <c r="F85">
        <v>121.52400000000232</v>
      </c>
      <c r="G85" s="9">
        <v>1.2152400000000232</v>
      </c>
      <c r="I85" s="9">
        <v>1.157499999999964</v>
      </c>
      <c r="J85" s="9">
        <v>1.1784699999999635</v>
      </c>
      <c r="K85" s="9">
        <v>1.2860000000000162</v>
      </c>
      <c r="L85" s="9">
        <v>1.2446900000000436</v>
      </c>
      <c r="M85" s="9">
        <v>3.765999999999539</v>
      </c>
      <c r="N85" s="9">
        <v>1.1675000000000009</v>
      </c>
      <c r="O85" s="9">
        <v>1.1837999999999966</v>
      </c>
    </row>
    <row r="86" spans="1:15" x14ac:dyDescent="0.25">
      <c r="A86" s="7">
        <v>46198</v>
      </c>
      <c r="C86">
        <v>115.90000000000144</v>
      </c>
      <c r="E86">
        <v>141.19999999999828</v>
      </c>
      <c r="F86">
        <v>121.79000000000353</v>
      </c>
      <c r="G86" s="9">
        <v>1.2179000000000353</v>
      </c>
      <c r="I86" s="9">
        <v>1.1540000000000674</v>
      </c>
      <c r="J86" s="9">
        <v>1.1760000000000139</v>
      </c>
      <c r="K86" s="9">
        <v>1.2879999999999736</v>
      </c>
      <c r="L86" s="9">
        <v>1.2294999999999572</v>
      </c>
      <c r="M86" s="9">
        <v>3.7559999999994562</v>
      </c>
      <c r="N86" s="9">
        <v>1.1700000000000288</v>
      </c>
      <c r="O86" s="9">
        <v>1.1825000000000259</v>
      </c>
    </row>
    <row r="87" spans="1:15" x14ac:dyDescent="0.25">
      <c r="A87" s="7">
        <v>46199</v>
      </c>
      <c r="C87">
        <v>116.19999999999844</v>
      </c>
      <c r="E87">
        <v>141.60000000000085</v>
      </c>
      <c r="F87">
        <v>122.80000000000007</v>
      </c>
      <c r="G87" s="9">
        <v>1.2280000000000006</v>
      </c>
      <c r="I87" s="9">
        <v>1.1580000000000199</v>
      </c>
      <c r="J87" s="9">
        <v>1.1811000000000313</v>
      </c>
      <c r="K87" s="9">
        <v>1.2909999999999757</v>
      </c>
      <c r="L87" s="9">
        <v>1.2249999999999914</v>
      </c>
      <c r="M87" s="9">
        <v>3.7524999999993192</v>
      </c>
      <c r="N87" s="9">
        <v>1.1665000000000254</v>
      </c>
      <c r="O87" s="9">
        <v>1.1854999999999942</v>
      </c>
    </row>
    <row r="88" spans="1:15" x14ac:dyDescent="0.25">
      <c r="A88" s="7">
        <v>46202</v>
      </c>
      <c r="C88">
        <v>116.19999999999891</v>
      </c>
      <c r="E88">
        <v>142.25000000000114</v>
      </c>
      <c r="F88">
        <v>122.85000000000015</v>
      </c>
      <c r="G88" s="9">
        <v>1.2285000000000015</v>
      </c>
      <c r="I88" s="9">
        <v>1.1645000000000396</v>
      </c>
      <c r="J88" s="9">
        <v>1.1855500000000281</v>
      </c>
      <c r="K88" s="9">
        <v>1.2983899999999551</v>
      </c>
      <c r="L88" s="9">
        <v>1.2374999999999325</v>
      </c>
      <c r="M88" s="9">
        <v>3.7709999999994288</v>
      </c>
      <c r="N88" s="9">
        <v>1.1750000000000045</v>
      </c>
      <c r="O88" s="9">
        <v>1.1876999999999795</v>
      </c>
    </row>
    <row r="89" spans="1:15" x14ac:dyDescent="0.25">
      <c r="A89" s="7">
        <v>46203</v>
      </c>
      <c r="C89">
        <v>116.49999999999818</v>
      </c>
      <c r="D89">
        <v>101.69999999999537</v>
      </c>
      <c r="E89">
        <v>142.84000000000216</v>
      </c>
      <c r="F89">
        <v>123.05999999999922</v>
      </c>
      <c r="G89" s="9">
        <v>1.2305999999999921</v>
      </c>
      <c r="I89" s="9">
        <v>1.1629999999999696</v>
      </c>
      <c r="J89" s="9">
        <v>1.1890000000000192</v>
      </c>
      <c r="K89" s="9">
        <v>1.3018899999999989</v>
      </c>
      <c r="L89" s="9">
        <v>1.2564499999999315</v>
      </c>
      <c r="M89" s="9">
        <v>3.7769999999996382</v>
      </c>
      <c r="N89" s="9">
        <v>1.181500000000004</v>
      </c>
      <c r="O89" s="9">
        <v>1.1890000000000207</v>
      </c>
    </row>
    <row r="90" spans="1:15" x14ac:dyDescent="0.25">
      <c r="A90" s="7">
        <v>46204</v>
      </c>
      <c r="C90">
        <v>116.14999999999726</v>
      </c>
      <c r="D90">
        <v>101.59999999998949</v>
      </c>
      <c r="E90">
        <v>143.00000000000205</v>
      </c>
      <c r="F90">
        <v>123.69999999999912</v>
      </c>
      <c r="G90" s="9">
        <v>1.2369999999999912</v>
      </c>
      <c r="I90" s="9">
        <v>1.1630000000000142</v>
      </c>
      <c r="J90" s="9">
        <v>1.1880000000000264</v>
      </c>
      <c r="K90" s="9">
        <v>1.3029000000000499</v>
      </c>
      <c r="L90" s="9">
        <v>1.248000000000012</v>
      </c>
      <c r="M90" s="9">
        <v>3.7699999999995493</v>
      </c>
      <c r="N90" s="9">
        <v>1.1785000000000299</v>
      </c>
      <c r="O90" s="9">
        <v>1.1889999999999905</v>
      </c>
    </row>
    <row r="91" spans="1:15" x14ac:dyDescent="0.25">
      <c r="A91" s="7">
        <v>46205</v>
      </c>
      <c r="C91">
        <v>116.20000000000172</v>
      </c>
      <c r="D91">
        <v>101.69999999998738</v>
      </c>
      <c r="E91">
        <v>143.24899999999764</v>
      </c>
      <c r="F91">
        <v>123.44999999999722</v>
      </c>
      <c r="G91" s="9">
        <v>1.2344999999999722</v>
      </c>
      <c r="I91" s="9">
        <v>1.163000000000006</v>
      </c>
      <c r="J91" s="9">
        <v>1.1879999999999871</v>
      </c>
      <c r="K91" s="9">
        <v>1.305500000000015</v>
      </c>
      <c r="L91" s="9">
        <v>1.2519999999999423</v>
      </c>
      <c r="M91" s="9">
        <v>3.7789999999993489</v>
      </c>
      <c r="N91" s="9">
        <v>1.1875000000000007</v>
      </c>
      <c r="O91" s="9">
        <v>1.1906999999999592</v>
      </c>
    </row>
    <row r="92" spans="1:15" x14ac:dyDescent="0.25">
      <c r="A92" s="7">
        <v>46206</v>
      </c>
      <c r="C92">
        <v>116.54999999999748</v>
      </c>
      <c r="D92">
        <v>102.29999999999512</v>
      </c>
      <c r="E92">
        <v>143.99999999999963</v>
      </c>
      <c r="F92">
        <v>123.609999999994</v>
      </c>
      <c r="G92" s="9">
        <v>1.23609999999994</v>
      </c>
      <c r="I92" s="9">
        <v>1.1649999999999661</v>
      </c>
      <c r="J92" s="9">
        <v>1.1904999999999952</v>
      </c>
      <c r="K92" s="9">
        <v>1.3100000000000049</v>
      </c>
      <c r="L92" s="9">
        <v>1.2560000000000466</v>
      </c>
      <c r="M92" s="9">
        <v>3.804500000000008</v>
      </c>
      <c r="N92" s="9">
        <v>1.1845000000000234</v>
      </c>
      <c r="O92" s="9">
        <v>1.1941200000000296</v>
      </c>
    </row>
    <row r="93" spans="1:15" x14ac:dyDescent="0.25">
      <c r="A93" s="7">
        <v>46209</v>
      </c>
      <c r="C93">
        <v>116.60000000000039</v>
      </c>
      <c r="D93">
        <v>102.49999999999355</v>
      </c>
      <c r="E93">
        <v>143.20000000000056</v>
      </c>
      <c r="F93">
        <v>123.99900000000123</v>
      </c>
      <c r="G93" s="9">
        <v>1.2399900000000124</v>
      </c>
      <c r="I93" s="9">
        <v>1.1614999999999771</v>
      </c>
      <c r="J93" s="9">
        <v>1.1909999999999537</v>
      </c>
      <c r="K93" s="9">
        <v>1.3119999999999485</v>
      </c>
      <c r="L93" s="9">
        <v>1.2590000000000168</v>
      </c>
      <c r="M93" s="9">
        <v>3.8280000000001455</v>
      </c>
      <c r="N93" s="9">
        <v>1.1884999999999668</v>
      </c>
      <c r="O93" s="9">
        <v>1.1967499999999733</v>
      </c>
    </row>
    <row r="94" spans="1:15" x14ac:dyDescent="0.25">
      <c r="A94" s="7">
        <v>46210</v>
      </c>
      <c r="C94">
        <v>116.64999999999654</v>
      </c>
      <c r="D94">
        <v>102.79999999999593</v>
      </c>
      <c r="E94">
        <v>144.1999999999997</v>
      </c>
      <c r="F94">
        <v>124.49999999999707</v>
      </c>
      <c r="G94" s="9">
        <v>1.2449999999999708</v>
      </c>
      <c r="I94" s="9">
        <v>1.1689999999999841</v>
      </c>
      <c r="J94" s="9">
        <v>1.1910999999999721</v>
      </c>
      <c r="K94" s="9">
        <v>1.313100000000033</v>
      </c>
      <c r="L94" s="9">
        <v>1.2650000000000547</v>
      </c>
      <c r="M94" s="9">
        <v>3.8329999999999433</v>
      </c>
      <c r="N94" s="9">
        <v>1.1879999999999882</v>
      </c>
      <c r="O94" s="9">
        <v>1.1960000000000157</v>
      </c>
    </row>
    <row r="95" spans="1:15" x14ac:dyDescent="0.25">
      <c r="A95" s="7">
        <v>46211</v>
      </c>
      <c r="C95">
        <v>117.04999999999713</v>
      </c>
      <c r="D95">
        <v>102.89999999999743</v>
      </c>
      <c r="E95">
        <v>143.9999999999992</v>
      </c>
      <c r="F95">
        <v>124.70100000000406</v>
      </c>
      <c r="G95" s="9">
        <v>1.2470100000000406</v>
      </c>
      <c r="I95" s="9">
        <v>1.1689999999999485</v>
      </c>
      <c r="J95" s="9">
        <v>1.1954800000000181</v>
      </c>
      <c r="K95" s="9">
        <v>1.3150000000000088</v>
      </c>
      <c r="L95" s="9">
        <v>1.267500000000092</v>
      </c>
      <c r="M95" s="9">
        <v>3.8399999999999888</v>
      </c>
      <c r="N95" s="9">
        <v>1.1800000000000175</v>
      </c>
      <c r="O95" s="9">
        <v>1.1994999999999825</v>
      </c>
    </row>
    <row r="96" spans="1:15" x14ac:dyDescent="0.25">
      <c r="A96" s="7">
        <v>46213</v>
      </c>
      <c r="C96">
        <v>118.95000000000233</v>
      </c>
      <c r="D96">
        <v>103.99999999999206</v>
      </c>
      <c r="E96">
        <v>144.39999999999878</v>
      </c>
      <c r="F96">
        <v>125.99999999999356</v>
      </c>
      <c r="G96" s="9">
        <v>1.2599999999999356</v>
      </c>
      <c r="I96" s="9">
        <v>1.1789999999999943</v>
      </c>
      <c r="J96" s="9">
        <v>1.1984999999999846</v>
      </c>
      <c r="K96" s="9">
        <v>1.315500000000043</v>
      </c>
      <c r="L96" s="9">
        <v>1.2749999999999952</v>
      </c>
      <c r="M96" s="9">
        <v>3.8379999999999854</v>
      </c>
      <c r="N96" s="9"/>
      <c r="O96" s="9">
        <v>1.2011199999999851</v>
      </c>
    </row>
    <row r="97" spans="1:15" x14ac:dyDescent="0.25">
      <c r="A97" s="7">
        <v>46216</v>
      </c>
      <c r="C97">
        <v>117.00000000000126</v>
      </c>
      <c r="D97">
        <v>102.8999999999991</v>
      </c>
      <c r="E97">
        <v>144.31999999999823</v>
      </c>
      <c r="F97">
        <v>124.50000000000504</v>
      </c>
      <c r="G97" s="9">
        <v>1.2450000000000505</v>
      </c>
      <c r="I97" s="9">
        <v>1.1680000000000168</v>
      </c>
      <c r="J97" s="9">
        <v>1.1938999999999635</v>
      </c>
      <c r="K97" s="9">
        <v>1.3159999999999892</v>
      </c>
      <c r="L97" s="9">
        <v>1.2680999999999947</v>
      </c>
      <c r="M97" s="9">
        <v>3.8379999999999446</v>
      </c>
      <c r="N97" s="9">
        <v>1.190000000000061</v>
      </c>
      <c r="O97" s="9">
        <v>1.1989999999999967</v>
      </c>
    </row>
    <row r="98" spans="1:15" x14ac:dyDescent="0.25">
      <c r="A98" s="7">
        <v>46217</v>
      </c>
      <c r="C98">
        <v>117.10000000000029</v>
      </c>
      <c r="D98">
        <v>103.00000000000003</v>
      </c>
      <c r="E98">
        <v>144.04999999999967</v>
      </c>
      <c r="F98">
        <v>124.43900000000487</v>
      </c>
      <c r="G98" s="9">
        <v>1.2443900000000487</v>
      </c>
      <c r="I98" s="9">
        <v>1.1679999999999691</v>
      </c>
      <c r="J98" s="9">
        <v>1.1926200000000151</v>
      </c>
      <c r="K98" s="9">
        <v>1.3155000000000272</v>
      </c>
      <c r="L98" s="9">
        <v>1.2689899999999412</v>
      </c>
      <c r="M98" s="9">
        <v>3.8444999999997322</v>
      </c>
      <c r="N98" s="9">
        <v>1.1894999999999463</v>
      </c>
      <c r="O98" s="9">
        <v>1.1994999999999936</v>
      </c>
    </row>
    <row r="99" spans="1:15" x14ac:dyDescent="0.25">
      <c r="A99" s="7">
        <v>46218</v>
      </c>
      <c r="C99">
        <v>117.10000000000097</v>
      </c>
      <c r="D99">
        <v>103.75000000000189</v>
      </c>
      <c r="E99">
        <v>144.35000000000323</v>
      </c>
      <c r="F99">
        <v>124.44999999999176</v>
      </c>
      <c r="G99" s="9">
        <v>1.2444999999999176</v>
      </c>
      <c r="I99" s="9">
        <v>1.172000000000011</v>
      </c>
      <c r="J99" s="9">
        <v>1.1969999999999694</v>
      </c>
      <c r="K99" s="9">
        <v>1.3170000000000386</v>
      </c>
      <c r="L99" s="9">
        <v>1.2750000000000268</v>
      </c>
      <c r="M99" s="9">
        <v>3.8474999999999659</v>
      </c>
      <c r="N99" s="9">
        <v>1.191000000000014</v>
      </c>
      <c r="O99" s="9">
        <v>1.1987100000000031</v>
      </c>
    </row>
    <row r="100" spans="1:15" x14ac:dyDescent="0.25">
      <c r="A100" s="7">
        <v>46219</v>
      </c>
      <c r="C100">
        <v>116.95000000000159</v>
      </c>
      <c r="D100">
        <v>103.29999999999767</v>
      </c>
      <c r="E100">
        <v>143.79999999999671</v>
      </c>
      <c r="F100">
        <v>124.31999999999903</v>
      </c>
      <c r="G100" s="9">
        <v>1.2431999999999903</v>
      </c>
      <c r="I100" s="9">
        <v>1.1679999999999908</v>
      </c>
      <c r="J100" s="9">
        <v>1.1926299999999901</v>
      </c>
      <c r="K100" s="9">
        <v>1.3149899999999441</v>
      </c>
      <c r="L100" s="9">
        <v>1.2700000000000005</v>
      </c>
      <c r="M100" s="9">
        <v>3.8449999999996027</v>
      </c>
      <c r="N100" s="9">
        <v>1.1904999999999628</v>
      </c>
      <c r="O100" s="9">
        <v>1.201399999999996</v>
      </c>
    </row>
    <row r="101" spans="1:15" x14ac:dyDescent="0.25">
      <c r="A101" s="7">
        <v>46220</v>
      </c>
      <c r="C101">
        <v>117.19999999999719</v>
      </c>
      <c r="D101">
        <v>103.09999999999906</v>
      </c>
      <c r="E101">
        <v>144.34000000000395</v>
      </c>
      <c r="F101">
        <v>124.45000000000191</v>
      </c>
      <c r="G101" s="9">
        <v>1.244500000000019</v>
      </c>
      <c r="I101" s="9">
        <v>1.1649999999999787</v>
      </c>
      <c r="J101" s="9">
        <v>1.196399999999985</v>
      </c>
      <c r="K101" s="9">
        <v>1.3171999999999926</v>
      </c>
      <c r="L101" s="9">
        <v>1.2618999999999929</v>
      </c>
      <c r="M101" s="9">
        <v>3.8449999999998776</v>
      </c>
      <c r="N101" s="9">
        <v>1.1945000000000174</v>
      </c>
      <c r="O101" s="9">
        <v>1.2036000000000011</v>
      </c>
    </row>
    <row r="102" spans="1:15" x14ac:dyDescent="0.25">
      <c r="A102" s="7">
        <v>46223</v>
      </c>
      <c r="C102">
        <v>117.20000000000171</v>
      </c>
      <c r="D102">
        <v>103.15000000000003</v>
      </c>
      <c r="E102">
        <v>144.20000000000377</v>
      </c>
      <c r="F102">
        <v>124.3700000000004</v>
      </c>
      <c r="G102" s="9">
        <v>1.243700000000004</v>
      </c>
      <c r="I102" s="9">
        <v>1.1709999999999652</v>
      </c>
      <c r="J102" s="9">
        <v>1.1967900000000185</v>
      </c>
      <c r="K102" s="9">
        <v>1.3159999999999488</v>
      </c>
      <c r="L102" s="9">
        <v>1.25999999999999</v>
      </c>
      <c r="M102" s="9">
        <v>3.8524999999998011</v>
      </c>
      <c r="N102" s="9">
        <v>1.1905000000000097</v>
      </c>
      <c r="O102" s="9">
        <v>1.2069999999999925</v>
      </c>
    </row>
    <row r="103" spans="1:15" x14ac:dyDescent="0.25">
      <c r="A103" s="7">
        <v>46224</v>
      </c>
      <c r="C103">
        <v>117.39999999999964</v>
      </c>
      <c r="D103">
        <v>103.19999999999251</v>
      </c>
      <c r="E103">
        <v>143.99999999999886</v>
      </c>
      <c r="F103">
        <v>124.28999999999924</v>
      </c>
      <c r="G103" s="9">
        <v>1.2428999999999923</v>
      </c>
      <c r="I103" s="9">
        <v>1.1780000000000272</v>
      </c>
      <c r="J103" s="9">
        <v>1.1964299999999783</v>
      </c>
      <c r="K103" s="9">
        <v>1.3161999999999969</v>
      </c>
      <c r="L103" s="9">
        <v>1.2587999999999977</v>
      </c>
      <c r="M103" s="9">
        <v>3.8520000000000461</v>
      </c>
      <c r="N103" s="9">
        <v>1.1940000000000539</v>
      </c>
      <c r="O103" s="9">
        <v>1.2069999999999925</v>
      </c>
    </row>
    <row r="104" spans="1:15" x14ac:dyDescent="0.25">
      <c r="A104" s="7">
        <v>46225</v>
      </c>
      <c r="C104">
        <v>117.39999999999702</v>
      </c>
      <c r="D104">
        <v>103.39999999999921</v>
      </c>
      <c r="E104">
        <v>144.09999999999738</v>
      </c>
      <c r="F104">
        <v>124.0989999999983</v>
      </c>
      <c r="G104" s="9">
        <v>1.2409899999999829</v>
      </c>
      <c r="I104" s="9">
        <v>1.1789999999999383</v>
      </c>
      <c r="J104" s="9">
        <v>1.1965000000000026</v>
      </c>
      <c r="K104" s="9">
        <v>1.3149800000000322</v>
      </c>
      <c r="L104" s="9">
        <v>1.2564999999999862</v>
      </c>
      <c r="M104" s="9">
        <v>3.864499999999929</v>
      </c>
      <c r="N104" s="9">
        <v>1.1959999999999964</v>
      </c>
      <c r="O104" s="9">
        <v>1.207999999999998</v>
      </c>
    </row>
    <row r="105" spans="1:15" x14ac:dyDescent="0.25">
      <c r="A105" s="7">
        <v>46226</v>
      </c>
      <c r="C105">
        <v>117.59999999999798</v>
      </c>
      <c r="D105">
        <v>103.40000000000072</v>
      </c>
      <c r="E105">
        <v>144.13899999999774</v>
      </c>
      <c r="F105">
        <v>123.90000000000185</v>
      </c>
      <c r="G105" s="9">
        <v>1.2390000000000185</v>
      </c>
      <c r="I105" s="9">
        <v>1.1830000000000149</v>
      </c>
      <c r="J105" s="9">
        <v>1.1964999999999753</v>
      </c>
      <c r="K105" s="9">
        <v>1.3127999999999656</v>
      </c>
      <c r="L105" s="9">
        <v>1.2534999999999517</v>
      </c>
      <c r="M105" s="9">
        <v>3.8660000000001036</v>
      </c>
      <c r="N105" s="9">
        <v>1.1969999999999317</v>
      </c>
      <c r="O105" s="9">
        <v>1.2095000000000156</v>
      </c>
    </row>
    <row r="106" spans="1:15" x14ac:dyDescent="0.25">
      <c r="A106" s="7">
        <v>46227</v>
      </c>
      <c r="C106">
        <v>117.84999999999715</v>
      </c>
      <c r="D106">
        <v>103.79999999999725</v>
      </c>
      <c r="E106">
        <v>144.19999999999993</v>
      </c>
      <c r="F106">
        <v>123.85000000000007</v>
      </c>
      <c r="G106" s="9">
        <v>1.2385000000000006</v>
      </c>
      <c r="I106" s="9">
        <v>1.1840000000000204</v>
      </c>
      <c r="J106" s="9">
        <v>1.1989999999999943</v>
      </c>
      <c r="K106" s="9">
        <v>1.3145000000000133</v>
      </c>
      <c r="L106" s="9">
        <v>1.2569999999999748</v>
      </c>
      <c r="M106" s="9">
        <v>3.8744999999995748</v>
      </c>
      <c r="N106" s="9">
        <v>1.198000000000031</v>
      </c>
      <c r="O106" s="9">
        <v>1.2115999999999791</v>
      </c>
    </row>
    <row r="107" spans="1:15" x14ac:dyDescent="0.25">
      <c r="A107" s="7">
        <v>46230</v>
      </c>
      <c r="C107">
        <v>117.80000000000182</v>
      </c>
      <c r="D107">
        <v>103.94999999999808</v>
      </c>
      <c r="E107">
        <v>144.51899999999969</v>
      </c>
      <c r="F107">
        <v>124.04999999999802</v>
      </c>
      <c r="G107" s="9">
        <v>1.2404999999999802</v>
      </c>
      <c r="I107" s="9">
        <v>1.1849999999999445</v>
      </c>
      <c r="J107" s="9">
        <v>1.1993099999999854</v>
      </c>
      <c r="K107" s="9">
        <v>1.3142499999999253</v>
      </c>
      <c r="L107" s="9">
        <v>1.2560000000000233</v>
      </c>
      <c r="M107" s="9">
        <v>3.8799999999998103</v>
      </c>
      <c r="N107" s="9">
        <v>1.2000000000000353</v>
      </c>
      <c r="O107" s="9">
        <v>1.2118000000000122</v>
      </c>
    </row>
    <row r="108" spans="1:15" x14ac:dyDescent="0.25">
      <c r="A108" s="7">
        <v>46231</v>
      </c>
      <c r="C108">
        <v>118.35000000000147</v>
      </c>
      <c r="D108">
        <v>104.24999999999976</v>
      </c>
      <c r="E108">
        <v>144.19999999999581</v>
      </c>
      <c r="F108">
        <v>123.94999999999739</v>
      </c>
      <c r="G108" s="9">
        <v>1.2394999999999738</v>
      </c>
      <c r="I108" s="9">
        <v>1.1809999999999881</v>
      </c>
      <c r="J108" s="9">
        <v>1.1983500000000022</v>
      </c>
      <c r="K108" s="9">
        <v>1.3119999999999927</v>
      </c>
      <c r="L108" s="9">
        <v>1.2559999999999478</v>
      </c>
      <c r="M108" s="9">
        <v>3.8784999999999799</v>
      </c>
      <c r="N108" s="9">
        <v>1.2000000000000659</v>
      </c>
      <c r="O108" s="9">
        <v>1.2124700000000102</v>
      </c>
    </row>
    <row r="109" spans="1:15" x14ac:dyDescent="0.25">
      <c r="A109" s="7">
        <v>46232</v>
      </c>
      <c r="C109">
        <v>118.20000000000171</v>
      </c>
      <c r="D109">
        <v>103.74999999999976</v>
      </c>
      <c r="E109">
        <v>144.69500000000309</v>
      </c>
      <c r="F109">
        <v>123.84999999999707</v>
      </c>
      <c r="G109" s="9">
        <v>1.2384999999999706</v>
      </c>
      <c r="I109" s="9">
        <v>1.1819999999999511</v>
      </c>
      <c r="J109" s="9">
        <v>1.1989999999999854</v>
      </c>
      <c r="K109" s="9">
        <v>1.3147000000000142</v>
      </c>
      <c r="L109" s="9">
        <v>1.2569999999999324</v>
      </c>
      <c r="M109" s="9">
        <v>3.8809999999997609</v>
      </c>
      <c r="N109" s="9">
        <v>1.2095000000000846</v>
      </c>
      <c r="O109" s="9">
        <v>1.2124999999999957</v>
      </c>
    </row>
    <row r="110" spans="1:15" x14ac:dyDescent="0.25">
      <c r="A110" s="7">
        <v>46233</v>
      </c>
      <c r="C110">
        <v>118.04999999999643</v>
      </c>
      <c r="D110">
        <v>103.69999999999958</v>
      </c>
      <c r="E110">
        <v>143.70000000000095</v>
      </c>
      <c r="F110">
        <v>123.69999999999722</v>
      </c>
      <c r="G110" s="9">
        <v>1.2369999999999721</v>
      </c>
      <c r="I110" s="9">
        <v>1.1764999999999075</v>
      </c>
      <c r="J110" s="9">
        <v>1.1975000000000104</v>
      </c>
      <c r="K110" s="9">
        <v>1.3110000000000068</v>
      </c>
      <c r="L110" s="9">
        <v>1.2524999999999391</v>
      </c>
      <c r="M110" s="9">
        <v>3.8739999999998651</v>
      </c>
      <c r="N110" s="9">
        <v>1.2054999999999476</v>
      </c>
      <c r="O110" s="9">
        <v>1.2112000000000094</v>
      </c>
    </row>
    <row r="111" spans="1:15" x14ac:dyDescent="0.25">
      <c r="A111" s="7">
        <v>46234</v>
      </c>
      <c r="C111">
        <v>117.90000000000389</v>
      </c>
      <c r="D111">
        <v>103.9999999999972</v>
      </c>
      <c r="E111">
        <v>144.49999999999986</v>
      </c>
      <c r="F111">
        <v>123.58999999999905</v>
      </c>
      <c r="G111" s="9">
        <v>1.2358999999999905</v>
      </c>
      <c r="I111" s="9">
        <v>1.170999999999824</v>
      </c>
      <c r="J111" s="9">
        <v>1.1989000000000085</v>
      </c>
      <c r="K111" s="9">
        <v>1.310999999999944</v>
      </c>
      <c r="L111" s="9">
        <v>1.2544000000000031</v>
      </c>
      <c r="M111" s="9">
        <v>3.8749999999999254</v>
      </c>
      <c r="N111" s="9">
        <v>1.2099999999999793</v>
      </c>
      <c r="O111" s="9">
        <v>1.2140000000000157</v>
      </c>
    </row>
    <row r="112" spans="1:15" x14ac:dyDescent="0.25">
      <c r="A112" s="7">
        <v>46237</v>
      </c>
      <c r="C112">
        <v>118.54999999999949</v>
      </c>
      <c r="D112">
        <v>104.49999999999635</v>
      </c>
      <c r="E112">
        <v>144.85999999999999</v>
      </c>
      <c r="F112">
        <v>123.90000000000416</v>
      </c>
      <c r="G112" s="9">
        <v>1.2390000000000416</v>
      </c>
      <c r="I112" s="9">
        <v>1.1749999999998584</v>
      </c>
      <c r="J112" s="9">
        <v>1.2013999999999874</v>
      </c>
      <c r="K112" s="9">
        <v>1.3137999999999928</v>
      </c>
      <c r="L112" s="9">
        <v>1.2557999999999565</v>
      </c>
      <c r="M112" s="9">
        <v>3.8799999999998884</v>
      </c>
      <c r="N112" s="9">
        <v>1.2039999999999846</v>
      </c>
      <c r="O112" s="9">
        <v>1.2136999999999893</v>
      </c>
    </row>
    <row r="113" spans="1:15" x14ac:dyDescent="0.25">
      <c r="A113" s="7">
        <v>46238</v>
      </c>
      <c r="C113">
        <v>118.45000000000134</v>
      </c>
      <c r="D113">
        <v>104.54999999999426</v>
      </c>
      <c r="E113">
        <v>144.89999999999725</v>
      </c>
      <c r="F113">
        <v>123.74899999999943</v>
      </c>
      <c r="G113" s="9">
        <v>1.2374899999999942</v>
      </c>
      <c r="I113" s="9">
        <v>1.1769999999999075</v>
      </c>
      <c r="J113" s="9">
        <v>1.2015000000000005</v>
      </c>
      <c r="K113" s="9">
        <v>1.3129999999999333</v>
      </c>
      <c r="L113" s="9">
        <v>1.2559999999999634</v>
      </c>
      <c r="M113" s="9">
        <v>3.8850000000000544</v>
      </c>
      <c r="N113" s="9">
        <v>1.1970000000000127</v>
      </c>
      <c r="O113" s="9">
        <v>1.2145100000000122</v>
      </c>
    </row>
    <row r="114" spans="1:15" x14ac:dyDescent="0.25">
      <c r="A114" s="7">
        <v>46239</v>
      </c>
      <c r="C114">
        <v>117.99999999999756</v>
      </c>
      <c r="D114">
        <v>104.2499999999946</v>
      </c>
      <c r="E114">
        <v>144.20700000000176</v>
      </c>
      <c r="F114">
        <v>123.79999999999546</v>
      </c>
      <c r="G114" s="9">
        <v>1.2379999999999547</v>
      </c>
      <c r="I114" s="9">
        <v>1.1769999999999197</v>
      </c>
      <c r="J114" s="9">
        <v>1.200999999999989</v>
      </c>
      <c r="K114" s="9">
        <v>1.3117599999999756</v>
      </c>
      <c r="L114" s="9">
        <v>1.2550000000000188</v>
      </c>
      <c r="M114" s="9">
        <v>3.8789999999998797</v>
      </c>
      <c r="N114" s="9">
        <v>1.1964999999999746</v>
      </c>
      <c r="O114" s="9">
        <v>1.2140000000000015</v>
      </c>
    </row>
    <row r="115" spans="1:15" x14ac:dyDescent="0.25">
      <c r="A115" s="7">
        <v>46240</v>
      </c>
      <c r="C115">
        <v>118.25000000000043</v>
      </c>
      <c r="D115">
        <v>104.39999999999765</v>
      </c>
      <c r="E115">
        <v>144.23999999999538</v>
      </c>
      <c r="F115">
        <v>123.24900000000399</v>
      </c>
      <c r="G115" s="9">
        <v>1.2324900000000398</v>
      </c>
      <c r="I115" s="9">
        <v>1.1769999999998868</v>
      </c>
      <c r="J115" s="9">
        <v>1.2005000000000094</v>
      </c>
      <c r="K115" s="9">
        <v>1.309999999999965</v>
      </c>
      <c r="L115" s="9">
        <v>1.2505000000000397</v>
      </c>
      <c r="M115" s="9">
        <v>3.879999999999789</v>
      </c>
      <c r="N115" s="9">
        <v>1.1869999999999015</v>
      </c>
      <c r="O115" s="9">
        <v>1.2149999999999879</v>
      </c>
    </row>
    <row r="116" spans="1:15" x14ac:dyDescent="0.25">
      <c r="A116" s="7">
        <v>46241</v>
      </c>
      <c r="C116">
        <v>118.74999999999885</v>
      </c>
      <c r="D116">
        <v>104.54999999999815</v>
      </c>
      <c r="E116">
        <v>144.19900000000206</v>
      </c>
      <c r="F116">
        <v>123.19999999999898</v>
      </c>
      <c r="G116" s="9">
        <v>1.2319999999999898</v>
      </c>
      <c r="I116" s="9">
        <v>1.1804999999999233</v>
      </c>
      <c r="J116" s="9">
        <v>1.2027000000000181</v>
      </c>
      <c r="K116" s="9">
        <v>1.3089000000000388</v>
      </c>
      <c r="L116" s="9">
        <v>1.2559999999999547</v>
      </c>
      <c r="M116" s="9">
        <v>3.8849999999997529</v>
      </c>
      <c r="N116" s="9">
        <v>1.1994999999999145</v>
      </c>
      <c r="O116" s="9">
        <v>1.2187500000000131</v>
      </c>
    </row>
    <row r="117" spans="1:15" x14ac:dyDescent="0.25">
      <c r="A117" s="7">
        <v>46244</v>
      </c>
      <c r="C117">
        <v>118.84999999999852</v>
      </c>
      <c r="D117">
        <v>104.74999999999784</v>
      </c>
      <c r="E117">
        <v>144.39999999999887</v>
      </c>
      <c r="F117">
        <v>123.44999999999322</v>
      </c>
      <c r="G117" s="9">
        <v>1.2344999999999322</v>
      </c>
      <c r="I117" s="9">
        <v>1.1809999999998999</v>
      </c>
      <c r="J117" s="9">
        <v>1.2029999999999919</v>
      </c>
      <c r="K117" s="9">
        <v>1.3120000000000263</v>
      </c>
      <c r="L117" s="9">
        <v>1.2570000000000301</v>
      </c>
      <c r="M117" s="9">
        <v>3.8834999999997488</v>
      </c>
      <c r="N117" s="9">
        <v>1.2089999999999939</v>
      </c>
      <c r="O117" s="9">
        <v>1.220499999999981</v>
      </c>
    </row>
    <row r="118" spans="1:15" x14ac:dyDescent="0.25">
      <c r="A118" s="7">
        <v>46245</v>
      </c>
      <c r="C118">
        <v>119.05000000000476</v>
      </c>
      <c r="D118">
        <v>104.79999999999995</v>
      </c>
      <c r="E118">
        <v>144.45099999999795</v>
      </c>
      <c r="F118">
        <v>123.24999999999895</v>
      </c>
      <c r="G118" s="9">
        <v>1.2324999999999895</v>
      </c>
      <c r="I118" s="9">
        <v>1.1849999999999605</v>
      </c>
      <c r="J118" s="9">
        <v>1.2037499999999945</v>
      </c>
      <c r="K118" s="9">
        <v>1.3099999999999681</v>
      </c>
      <c r="L118" s="9">
        <v>1.2529999999999064</v>
      </c>
      <c r="M118" s="9">
        <v>3.8839999999998138</v>
      </c>
      <c r="N118" s="9">
        <v>1.2054999999999807</v>
      </c>
      <c r="O118" s="9">
        <v>1.2209999999999785</v>
      </c>
    </row>
    <row r="119" spans="1:15" x14ac:dyDescent="0.25">
      <c r="A119" s="7">
        <v>46246</v>
      </c>
      <c r="C119">
        <v>119.09999999999854</v>
      </c>
      <c r="D119">
        <v>105.2000000000002</v>
      </c>
      <c r="E119">
        <v>144.55000000000055</v>
      </c>
      <c r="F119">
        <v>123.29999999999902</v>
      </c>
      <c r="G119" s="9">
        <v>1.2329999999999901</v>
      </c>
      <c r="I119" s="9">
        <v>1.1849999999999625</v>
      </c>
      <c r="J119" s="9">
        <v>1.2055100000000101</v>
      </c>
      <c r="K119" s="9">
        <v>1.3114999999999635</v>
      </c>
      <c r="L119" s="9">
        <v>1.252999999999947</v>
      </c>
      <c r="M119" s="9">
        <v>3.8849999999997475</v>
      </c>
      <c r="N119" s="9">
        <v>1.2059999999999635</v>
      </c>
      <c r="O119" s="9">
        <v>1.2225000000000017</v>
      </c>
    </row>
    <row r="120" spans="1:15" x14ac:dyDescent="0.25">
      <c r="A120" s="7">
        <v>46247</v>
      </c>
      <c r="C120">
        <v>119.15000000000187</v>
      </c>
      <c r="D120">
        <v>104.99999999999901</v>
      </c>
      <c r="E120">
        <v>144.64999999999978</v>
      </c>
      <c r="F120">
        <v>123.60000000000073</v>
      </c>
      <c r="G120" s="9">
        <v>1.2360000000000073</v>
      </c>
      <c r="I120" s="9">
        <v>1.1879999999999267</v>
      </c>
      <c r="J120" s="9">
        <v>1.2072999999999883</v>
      </c>
      <c r="K120" s="9">
        <v>1.3113000000000332</v>
      </c>
      <c r="L120" s="9">
        <v>1.2585000000000228</v>
      </c>
      <c r="M120" s="9">
        <v>3.8779999999994397</v>
      </c>
      <c r="N120" s="9">
        <v>1.2110000000000176</v>
      </c>
      <c r="O120" s="9">
        <v>1.2244000000000141</v>
      </c>
    </row>
    <row r="121" spans="1:15" x14ac:dyDescent="0.25">
      <c r="A121" s="7">
        <v>46248</v>
      </c>
      <c r="C121">
        <v>119.25000000000017</v>
      </c>
      <c r="D121">
        <v>105.19999999999993</v>
      </c>
      <c r="E121">
        <v>145.30000000000427</v>
      </c>
      <c r="F121">
        <v>123.87999999999832</v>
      </c>
      <c r="G121" s="9">
        <v>1.2387999999999832</v>
      </c>
      <c r="H121" s="9">
        <v>0.98250000000002002</v>
      </c>
      <c r="I121" s="9">
        <v>1.1879999999999393</v>
      </c>
      <c r="J121" s="9">
        <v>1.2104500000000098</v>
      </c>
      <c r="K121" s="9">
        <v>1.3145100000000083</v>
      </c>
      <c r="L121" s="9">
        <v>1.2583999999999431</v>
      </c>
      <c r="M121" s="9">
        <v>3.8889999999998377</v>
      </c>
      <c r="N121" s="9">
        <v>1.2075000000000005</v>
      </c>
      <c r="O121" s="9">
        <v>1.2269999999999932</v>
      </c>
    </row>
    <row r="122" spans="1:15" x14ac:dyDescent="0.25">
      <c r="A122" s="7">
        <v>46252</v>
      </c>
      <c r="C122">
        <v>118.04999999999799</v>
      </c>
      <c r="D122">
        <v>105.00000000000014</v>
      </c>
      <c r="E122">
        <v>144.65000000000356</v>
      </c>
      <c r="F122">
        <v>122.50999999999712</v>
      </c>
      <c r="G122" s="9">
        <v>1.2250999999999712</v>
      </c>
      <c r="H122" s="9">
        <v>0.97850000000000381</v>
      </c>
      <c r="I122" s="9">
        <v>1.1754999999996658</v>
      </c>
      <c r="J122" s="9">
        <v>1.2035999999999898</v>
      </c>
      <c r="K122" s="9">
        <v>1.3024999999999687</v>
      </c>
      <c r="L122" s="9">
        <v>1.2544999999999822</v>
      </c>
      <c r="M122" s="9">
        <v>3.8499999999975199</v>
      </c>
      <c r="N122" s="9">
        <v>1.2069999999999776</v>
      </c>
      <c r="O122" s="9">
        <v>1.2239999999999871</v>
      </c>
    </row>
    <row r="123" spans="1:15" x14ac:dyDescent="0.25">
      <c r="A123" s="7">
        <v>46253</v>
      </c>
      <c r="C123">
        <v>118.64999999999756</v>
      </c>
      <c r="D123">
        <v>104.8999999999951</v>
      </c>
      <c r="E123">
        <v>144.2000000000032</v>
      </c>
      <c r="F123">
        <v>122.49999999999768</v>
      </c>
      <c r="G123" s="9">
        <v>1.2249999999999768</v>
      </c>
      <c r="H123" s="9">
        <v>0.97399999999999043</v>
      </c>
      <c r="I123" s="9">
        <v>1.1799999999998325</v>
      </c>
      <c r="J123" s="9">
        <v>1.2025000000000057</v>
      </c>
      <c r="K123" s="9">
        <v>1.2967000000000104</v>
      </c>
      <c r="L123" s="9">
        <v>1.2520000000000104</v>
      </c>
      <c r="M123" s="9">
        <v>3.8404999999960356</v>
      </c>
      <c r="N123" s="9">
        <v>1.1999999999999487</v>
      </c>
      <c r="O123" s="9">
        <v>1.2200000000000066</v>
      </c>
    </row>
    <row r="124" spans="1:15" x14ac:dyDescent="0.25">
      <c r="A124" s="7">
        <v>46254</v>
      </c>
      <c r="C124">
        <v>119.44999999999813</v>
      </c>
      <c r="D124">
        <v>105.19999999999841</v>
      </c>
      <c r="E124">
        <v>145.10000000000193</v>
      </c>
      <c r="F124">
        <v>124.09999999999457</v>
      </c>
      <c r="G124" s="9">
        <v>1.2409999999999457</v>
      </c>
      <c r="H124" s="9">
        <v>0.98149999999999382</v>
      </c>
      <c r="I124" s="9">
        <v>1.1839999999999185</v>
      </c>
      <c r="J124" s="9">
        <v>1.2097999999999922</v>
      </c>
      <c r="K124" s="9">
        <v>1.3154000000000408</v>
      </c>
      <c r="L124" s="9">
        <v>1.2580000000000051</v>
      </c>
      <c r="M124" s="9">
        <v>3.8509999999971267</v>
      </c>
      <c r="N124" s="9">
        <v>1.2049999999999526</v>
      </c>
      <c r="O124" s="9">
        <v>1.2234999999999907</v>
      </c>
    </row>
    <row r="125" spans="1:15" x14ac:dyDescent="0.25">
      <c r="A125" s="7">
        <v>46255</v>
      </c>
      <c r="C125">
        <v>120.0000000000025</v>
      </c>
      <c r="D125">
        <v>105.44999999999209</v>
      </c>
      <c r="E125">
        <v>145.70000000000258</v>
      </c>
      <c r="F125">
        <v>124.34999999999815</v>
      </c>
      <c r="G125" s="9">
        <v>1.2434999999999814</v>
      </c>
      <c r="H125" s="9">
        <v>0.98299999999999865</v>
      </c>
      <c r="I125" s="9">
        <v>1.1900000000000273</v>
      </c>
      <c r="J125" s="9">
        <v>1.21434999999999</v>
      </c>
      <c r="K125" s="9">
        <v>1.3193999999999864</v>
      </c>
      <c r="L125" s="9">
        <v>1.2599999999999409</v>
      </c>
      <c r="M125" s="9">
        <v>3.8624999999979792</v>
      </c>
      <c r="N125" s="9">
        <v>1.2094999999999694</v>
      </c>
      <c r="O125" s="9">
        <v>1.2264999999999853</v>
      </c>
    </row>
    <row r="126" spans="1:15" x14ac:dyDescent="0.25">
      <c r="A126" s="7">
        <v>46258</v>
      </c>
      <c r="C126">
        <v>120.24999999999876</v>
      </c>
      <c r="D126">
        <v>105.24999999999255</v>
      </c>
      <c r="E126">
        <v>146.07999999999939</v>
      </c>
      <c r="F126">
        <v>124.62999999999937</v>
      </c>
      <c r="G126" s="9">
        <v>1.2462999999999937</v>
      </c>
      <c r="H126" s="9">
        <v>0.98449999999997362</v>
      </c>
      <c r="I126" s="9">
        <v>1.1899999999999828</v>
      </c>
      <c r="J126" s="9">
        <v>1.2152000000000056</v>
      </c>
      <c r="K126" s="9">
        <v>1.3234000000000601</v>
      </c>
      <c r="L126" s="9">
        <v>1.259999999999976</v>
      </c>
      <c r="M126" s="9">
        <v>3.8749999999983853</v>
      </c>
      <c r="N126" s="9">
        <v>1.2109999999999512</v>
      </c>
      <c r="O126" s="9">
        <v>1.2280000000000046</v>
      </c>
    </row>
    <row r="127" spans="1:15" x14ac:dyDescent="0.25">
      <c r="A127" s="7">
        <v>46259</v>
      </c>
      <c r="C127">
        <v>120.14999999999768</v>
      </c>
      <c r="D127">
        <v>105.29999999999787</v>
      </c>
      <c r="E127">
        <v>145.65199999999894</v>
      </c>
      <c r="F127">
        <v>124.54999999999868</v>
      </c>
      <c r="G127" s="9">
        <v>1.2454999999999867</v>
      </c>
      <c r="H127" s="9">
        <v>0.98380000000002654</v>
      </c>
      <c r="I127" s="9">
        <v>1.1964999999999462</v>
      </c>
      <c r="J127" s="9">
        <v>1.2143999999999908</v>
      </c>
      <c r="K127" s="9">
        <v>1.3219000000000027</v>
      </c>
      <c r="L127" s="9">
        <v>1.2533999999999761</v>
      </c>
      <c r="M127" s="9">
        <v>3.8814999999987094</v>
      </c>
      <c r="N127" s="9">
        <v>1.2174999999999614</v>
      </c>
      <c r="O127" s="9">
        <v>1.2279999999999969</v>
      </c>
    </row>
    <row r="128" spans="1:15" x14ac:dyDescent="0.25">
      <c r="A128" s="7">
        <v>46260</v>
      </c>
      <c r="C128">
        <v>120.35000000000178</v>
      </c>
      <c r="D128">
        <v>105.39999999999398</v>
      </c>
      <c r="E128">
        <v>145.45000000000346</v>
      </c>
      <c r="F128">
        <v>124.15000000000636</v>
      </c>
      <c r="G128" s="9">
        <v>1.2415000000000636</v>
      </c>
      <c r="H128" s="9">
        <v>0.98299999999999654</v>
      </c>
      <c r="I128" s="9">
        <v>1.1809999999997101</v>
      </c>
      <c r="J128" s="9">
        <v>1.21475000000001</v>
      </c>
      <c r="K128" s="9">
        <v>1.3194500000000289</v>
      </c>
      <c r="L128" s="9">
        <v>1.2534500000000188</v>
      </c>
      <c r="M128" s="9">
        <v>3.8804999999984653</v>
      </c>
      <c r="N128" s="9">
        <v>1.2145000000000008</v>
      </c>
      <c r="O128" s="9">
        <v>1.2275000000000063</v>
      </c>
    </row>
    <row r="129" spans="1:15" x14ac:dyDescent="0.25">
      <c r="A129" s="7">
        <v>46261</v>
      </c>
      <c r="C129">
        <v>120.59999999999744</v>
      </c>
      <c r="D129">
        <v>105.44999999999767</v>
      </c>
      <c r="E129">
        <v>145.74999999999631</v>
      </c>
      <c r="F129">
        <v>123.99000000000112</v>
      </c>
      <c r="G129" s="9">
        <v>1.2399000000000111</v>
      </c>
      <c r="H129" s="9">
        <v>0.98299999999998022</v>
      </c>
      <c r="I129" s="9">
        <v>1.1819999999997413</v>
      </c>
      <c r="J129" s="9">
        <v>1.2157000000000182</v>
      </c>
      <c r="K129" s="9">
        <v>1.3192999999999682</v>
      </c>
      <c r="L129" s="9">
        <v>1.254199999999956</v>
      </c>
      <c r="M129" s="9">
        <v>3.8879999999988515</v>
      </c>
      <c r="N129" s="9">
        <v>1.2189999999999714</v>
      </c>
      <c r="O129" s="9">
        <v>1.2311999999999819</v>
      </c>
    </row>
    <row r="130" spans="1:15" x14ac:dyDescent="0.25">
      <c r="A130" s="7">
        <v>46262</v>
      </c>
      <c r="C130">
        <v>120.80000000000022</v>
      </c>
      <c r="D130">
        <v>105.79999999999833</v>
      </c>
      <c r="E130">
        <v>146.45000000000482</v>
      </c>
      <c r="F130">
        <v>124.45000000000319</v>
      </c>
      <c r="G130" s="9">
        <v>1.2445000000000319</v>
      </c>
      <c r="H130" s="9">
        <v>0.98550000000001736</v>
      </c>
      <c r="I130" s="9">
        <v>1.1899999999998689</v>
      </c>
      <c r="J130" s="9">
        <v>1.2187999999995287</v>
      </c>
      <c r="K130" s="9">
        <v>1.3258999999999705</v>
      </c>
      <c r="L130" s="9">
        <v>1.2609999999999904</v>
      </c>
      <c r="M130" s="9">
        <v>3.8949999999989857</v>
      </c>
      <c r="N130" s="9">
        <v>1.2165000000000041</v>
      </c>
      <c r="O130" s="9">
        <v>1.2334999999999865</v>
      </c>
    </row>
    <row r="131" spans="1:15" x14ac:dyDescent="0.25">
      <c r="A131" s="4">
        <v>46265</v>
      </c>
      <c r="B131" s="9"/>
      <c r="C131">
        <v>121.15</v>
      </c>
      <c r="D131">
        <v>106.84999999999238</v>
      </c>
      <c r="E131">
        <v>146.94000000000119</v>
      </c>
      <c r="F131">
        <v>124.85000000000053</v>
      </c>
      <c r="G131" s="9">
        <v>1.2485000000000053</v>
      </c>
      <c r="H131" s="9">
        <v>0.9874999999999805</v>
      </c>
      <c r="I131" s="9">
        <v>1.2035000000000065</v>
      </c>
      <c r="J131" s="9">
        <v>1.2211999999996819</v>
      </c>
      <c r="K131" s="9">
        <v>1.3277000000000525</v>
      </c>
      <c r="L131" s="9">
        <v>1.2639999999999953</v>
      </c>
      <c r="M131" s="9">
        <v>3.8964999999983876</v>
      </c>
      <c r="N131" s="9">
        <v>1.2210000000000008</v>
      </c>
      <c r="O131" s="9">
        <v>1.2349999999999923</v>
      </c>
    </row>
    <row r="132" spans="1:15" x14ac:dyDescent="0.25">
      <c r="A132" s="4">
        <v>46266</v>
      </c>
      <c r="B132" s="11">
        <v>1.00906037</v>
      </c>
      <c r="C132" s="12">
        <v>1.2130007899999999</v>
      </c>
      <c r="D132" s="11">
        <v>1.06900032</v>
      </c>
      <c r="E132" s="11">
        <v>1.47186796</v>
      </c>
      <c r="F132" s="11">
        <v>1.2513122999999999</v>
      </c>
      <c r="G132" s="11">
        <v>1.2513122999999999</v>
      </c>
      <c r="H132" s="12">
        <v>0.98939814999999998</v>
      </c>
      <c r="I132" s="11">
        <v>121.6499999999932</v>
      </c>
      <c r="J132" s="11">
        <v>1.2227816600000001</v>
      </c>
      <c r="K132" s="11">
        <v>1.3298810999999999</v>
      </c>
      <c r="L132" s="11">
        <v>1.2646346799999999</v>
      </c>
      <c r="M132" s="11">
        <v>3.9192279999999999</v>
      </c>
      <c r="N132" s="11">
        <v>1.2169272499999999</v>
      </c>
      <c r="O132" s="11">
        <v>1.2377929000000001</v>
      </c>
    </row>
    <row r="133" spans="1:15" x14ac:dyDescent="0.25">
      <c r="A133" s="4">
        <v>46267</v>
      </c>
      <c r="B133" s="11">
        <v>1.0100603500000001</v>
      </c>
      <c r="C133" s="12">
        <v>1.2147051099999999</v>
      </c>
      <c r="D133" s="11">
        <v>1.0690074300000001</v>
      </c>
      <c r="E133" s="11">
        <v>1.47201179</v>
      </c>
      <c r="F133" s="11">
        <v>1.2529571399999999</v>
      </c>
      <c r="G133" s="11">
        <v>1.2529571399999999</v>
      </c>
      <c r="H133" s="12">
        <v>0.99174496000000001</v>
      </c>
      <c r="I133" s="12">
        <v>1.2075260000000001</v>
      </c>
      <c r="J133" s="11">
        <v>1.2238402399999999</v>
      </c>
      <c r="K133" s="11">
        <v>1.33226589</v>
      </c>
      <c r="L133" s="11">
        <v>1.26554419</v>
      </c>
      <c r="M133" s="11">
        <v>3.9397009000000001</v>
      </c>
      <c r="N133" s="11">
        <v>1.2199578900000001</v>
      </c>
      <c r="O133" s="11">
        <v>1.2384295299999999</v>
      </c>
    </row>
    <row r="134" spans="1:15" x14ac:dyDescent="0.25">
      <c r="A134" s="4">
        <v>46268</v>
      </c>
      <c r="B134" s="11">
        <v>1.01084299</v>
      </c>
      <c r="C134" s="12">
        <v>1.2157256599999999</v>
      </c>
      <c r="D134" s="11">
        <v>1.0687348400000001</v>
      </c>
      <c r="E134" s="11">
        <v>1.47362075</v>
      </c>
      <c r="F134" s="11">
        <v>1.25421118</v>
      </c>
      <c r="G134" s="11">
        <v>1.25421118</v>
      </c>
      <c r="H134" s="12">
        <v>0.99424604999999999</v>
      </c>
      <c r="I134" s="12">
        <v>1.20153475</v>
      </c>
      <c r="J134" s="11">
        <v>1.2249302799999999</v>
      </c>
      <c r="K134" s="11">
        <v>1.3337051600000001</v>
      </c>
      <c r="L134" s="11">
        <v>1.2674897700000001</v>
      </c>
      <c r="M134" s="11">
        <v>3.95347932</v>
      </c>
      <c r="N134" s="11">
        <v>1.22347926</v>
      </c>
      <c r="O134" s="11">
        <v>1.2404261400000001</v>
      </c>
    </row>
    <row r="135" spans="1:15" x14ac:dyDescent="0.25">
      <c r="A135" s="4">
        <v>46269</v>
      </c>
      <c r="B135" s="11">
        <v>1.0127881299999999</v>
      </c>
      <c r="C135" s="12">
        <v>1.2178138199999999</v>
      </c>
      <c r="D135" s="11">
        <v>1.0742336400000001</v>
      </c>
      <c r="E135" s="11">
        <v>1.4765107900000001</v>
      </c>
      <c r="F135" s="11">
        <v>1.2585695299999999</v>
      </c>
      <c r="G135" s="11">
        <v>1.2585695299999999</v>
      </c>
      <c r="H135" s="12">
        <v>0.99898215999999995</v>
      </c>
      <c r="I135" s="12">
        <v>1.2075780599999999</v>
      </c>
      <c r="J135" s="11">
        <v>1.2272383499999999</v>
      </c>
      <c r="K135" s="11">
        <v>1.33790498</v>
      </c>
      <c r="L135" s="11">
        <v>1.2687158999999999</v>
      </c>
      <c r="M135" s="11">
        <v>3.9560157</v>
      </c>
      <c r="N135" s="11">
        <v>1.229144</v>
      </c>
      <c r="O135" s="11">
        <v>1.24342201</v>
      </c>
    </row>
    <row r="136" spans="1:15" x14ac:dyDescent="0.25">
      <c r="A136" s="4">
        <v>46272</v>
      </c>
      <c r="B136" s="11">
        <v>1.0133567299999999</v>
      </c>
      <c r="C136" s="12">
        <v>1.2177763699999999</v>
      </c>
      <c r="D136" s="11">
        <v>1.0713623999999999</v>
      </c>
      <c r="E136" s="11">
        <v>1.46987329</v>
      </c>
      <c r="F136" s="11">
        <v>1.2595068899999999</v>
      </c>
      <c r="G136" s="11">
        <v>1.2595068899999999</v>
      </c>
      <c r="H136" s="12">
        <v>0.99773075</v>
      </c>
      <c r="I136" s="12">
        <v>1.2105391999999999</v>
      </c>
      <c r="J136" s="11">
        <v>1.2289346999999999</v>
      </c>
      <c r="K136" s="11">
        <v>1.33824331</v>
      </c>
      <c r="L136" s="11">
        <v>1.26933221</v>
      </c>
      <c r="M136" s="11">
        <v>3.9592439100000001</v>
      </c>
      <c r="N136" s="11">
        <v>1.2303535999999999</v>
      </c>
      <c r="O136" s="11">
        <v>1.2448657999999999</v>
      </c>
    </row>
    <row r="137" spans="1:15" x14ac:dyDescent="0.25">
      <c r="A137" s="4">
        <v>46273</v>
      </c>
      <c r="B137" s="11">
        <v>1.01323655</v>
      </c>
      <c r="C137" s="12">
        <v>1.2177810499999999</v>
      </c>
      <c r="D137" s="11">
        <v>1.0716682</v>
      </c>
      <c r="E137" s="11">
        <v>1.4748975499999999</v>
      </c>
      <c r="F137" s="11">
        <v>1.2577613400000001</v>
      </c>
      <c r="G137" s="11">
        <v>1.2577613400000001</v>
      </c>
      <c r="H137" s="12">
        <v>0.99844274</v>
      </c>
      <c r="I137" s="12">
        <v>1.2125095699999999</v>
      </c>
      <c r="J137" s="11">
        <v>1.22905825</v>
      </c>
      <c r="K137" s="11">
        <v>1.3382574899999999</v>
      </c>
      <c r="L137" s="11">
        <v>1.27103747</v>
      </c>
      <c r="M137" s="11">
        <v>3.9737443400000001</v>
      </c>
      <c r="N137" s="11">
        <v>1.23</v>
      </c>
      <c r="O137" s="11">
        <v>1.2462282225646</v>
      </c>
    </row>
    <row r="138" spans="1:15" x14ac:dyDescent="0.25">
      <c r="A138" s="4">
        <v>46274</v>
      </c>
      <c r="B138" s="11">
        <v>1.0115057599999999</v>
      </c>
      <c r="C138" s="12">
        <v>1.21875841</v>
      </c>
      <c r="D138" s="11">
        <v>1.0749949999999999</v>
      </c>
      <c r="E138" s="11">
        <v>1.4749056899999999</v>
      </c>
      <c r="F138" s="11">
        <v>1.25681132</v>
      </c>
      <c r="G138" s="11">
        <v>1.25681132</v>
      </c>
      <c r="H138" s="12">
        <v>0.99758399999999992</v>
      </c>
      <c r="I138" s="12">
        <v>1.2110000000000001</v>
      </c>
      <c r="J138" s="11">
        <v>1.2284157899999999</v>
      </c>
      <c r="K138" s="11">
        <v>1.3364771</v>
      </c>
      <c r="L138" s="11">
        <v>1.2679330499999999</v>
      </c>
      <c r="M138" s="11">
        <v>3.9671134600000002</v>
      </c>
      <c r="N138" s="11">
        <v>1.2315876800000001</v>
      </c>
      <c r="O138" s="11">
        <v>1.2453557799999999</v>
      </c>
    </row>
    <row r="139" spans="1:15" x14ac:dyDescent="0.25">
      <c r="A139" s="4">
        <v>46275</v>
      </c>
      <c r="B139" s="11">
        <v>1.0156021799999999</v>
      </c>
      <c r="C139" s="12">
        <v>1.2171409900000001</v>
      </c>
      <c r="D139" s="11">
        <v>1.07449996</v>
      </c>
      <c r="E139" s="11">
        <v>1.47846571</v>
      </c>
      <c r="F139" s="11">
        <v>1.2607528299999999</v>
      </c>
      <c r="G139" s="11">
        <v>1.2607528299999999</v>
      </c>
      <c r="H139" s="12">
        <v>0.99770473999999998</v>
      </c>
      <c r="I139" s="12">
        <v>1.2090000000000001</v>
      </c>
      <c r="J139" s="11">
        <v>1.2302787399999999</v>
      </c>
      <c r="K139" s="11">
        <v>1.3407502899999999</v>
      </c>
      <c r="L139" s="11">
        <v>1.2725215599999999</v>
      </c>
      <c r="M139" s="11">
        <v>3.9624615599999999</v>
      </c>
      <c r="N139" s="11">
        <v>1.2250563999999999</v>
      </c>
      <c r="O139" s="11">
        <v>1.2462244</v>
      </c>
    </row>
    <row r="140" spans="1:15" x14ac:dyDescent="0.25">
      <c r="A140" s="4">
        <v>46276</v>
      </c>
      <c r="B140" s="11">
        <v>1.0171820300000001</v>
      </c>
      <c r="C140" s="12">
        <v>1.22005713</v>
      </c>
      <c r="D140" s="11">
        <v>1.0730103600000001</v>
      </c>
      <c r="E140" s="11">
        <v>1.48303425</v>
      </c>
      <c r="F140" s="11">
        <v>1.2616848199999999</v>
      </c>
      <c r="G140" s="11">
        <v>1.2616848199999999</v>
      </c>
      <c r="H140" s="12">
        <v>1.00047303</v>
      </c>
      <c r="I140" s="12">
        <v>1.2105345000000001</v>
      </c>
      <c r="J140" s="11">
        <v>1.23192268</v>
      </c>
      <c r="K140" s="11">
        <v>1.3419946</v>
      </c>
      <c r="L140" s="11">
        <v>1.2753461699999999</v>
      </c>
      <c r="M140" s="11">
        <v>3.9727677400000001</v>
      </c>
      <c r="N140" s="11">
        <v>1.23002079</v>
      </c>
      <c r="O140" s="11">
        <v>1.24903546</v>
      </c>
    </row>
    <row r="141" spans="1:15" x14ac:dyDescent="0.25">
      <c r="A141" s="4">
        <v>46279</v>
      </c>
      <c r="B141" s="11">
        <v>1.0194176500000001</v>
      </c>
      <c r="C141" s="12">
        <v>1.22405823</v>
      </c>
      <c r="D141" s="11">
        <v>1.0804226100000001</v>
      </c>
      <c r="E141" s="11">
        <v>1.48588655</v>
      </c>
      <c r="F141" s="11">
        <v>1.2666343</v>
      </c>
      <c r="G141" s="11">
        <v>1.2666343</v>
      </c>
      <c r="H141" s="12">
        <v>1.0060696</v>
      </c>
      <c r="I141" s="12">
        <v>1.2153985300000001</v>
      </c>
      <c r="J141" s="11">
        <v>1.2354439699999999</v>
      </c>
      <c r="K141" s="11">
        <v>1.34450995</v>
      </c>
      <c r="L141" s="11">
        <v>1.27760388</v>
      </c>
      <c r="M141" s="11">
        <v>3.9954635999999999</v>
      </c>
      <c r="N141" s="11">
        <v>1.24151338</v>
      </c>
      <c r="O141" s="11">
        <v>1.25289889</v>
      </c>
    </row>
    <row r="142" spans="1:15" x14ac:dyDescent="0.25">
      <c r="A142" s="4">
        <v>46280</v>
      </c>
      <c r="B142" s="11">
        <v>1.02044128</v>
      </c>
      <c r="C142" s="12">
        <v>1.2258720400000001</v>
      </c>
      <c r="D142" s="11">
        <v>1.0821337499999999</v>
      </c>
      <c r="E142" s="11">
        <v>1.48790837</v>
      </c>
      <c r="F142" s="11">
        <v>1.26531796</v>
      </c>
      <c r="G142" s="11">
        <v>1.26531796</v>
      </c>
      <c r="H142" s="12">
        <v>1.0074688599999999</v>
      </c>
      <c r="I142" s="12">
        <v>1.22277905</v>
      </c>
      <c r="J142" s="11">
        <v>1.2365159999999999</v>
      </c>
      <c r="K142" s="11">
        <v>1.34564097</v>
      </c>
      <c r="L142" s="11">
        <v>1.2780193399999999</v>
      </c>
      <c r="M142" s="11">
        <v>4.0055003100000004</v>
      </c>
      <c r="N142" s="11">
        <v>1.24550297</v>
      </c>
      <c r="O142" s="11">
        <v>1.2540483200000001</v>
      </c>
    </row>
    <row r="143" spans="1:15" x14ac:dyDescent="0.25">
      <c r="A143" s="4">
        <v>46281</v>
      </c>
      <c r="B143" s="11">
        <v>1.02140539</v>
      </c>
      <c r="C143" s="12">
        <v>1.22719931</v>
      </c>
      <c r="D143" s="11">
        <v>1.08499287</v>
      </c>
      <c r="E143" s="11">
        <v>1.4886435099999999</v>
      </c>
      <c r="F143" s="11">
        <v>1.2667624900000001</v>
      </c>
      <c r="G143" s="11">
        <v>1.2667624900000001</v>
      </c>
      <c r="H143" s="12">
        <v>1.0089119499999999</v>
      </c>
      <c r="I143" s="12">
        <v>1.22891895</v>
      </c>
      <c r="J143" s="11">
        <v>1.2379524099999999</v>
      </c>
      <c r="K143" s="11">
        <v>1.3460999</v>
      </c>
      <c r="L143" s="11">
        <v>1.2794401099999999</v>
      </c>
      <c r="M143" s="11">
        <v>4.0296776000000003</v>
      </c>
      <c r="N143" s="11">
        <v>1.2507881199999999</v>
      </c>
      <c r="O143" s="11">
        <v>1.25687583</v>
      </c>
    </row>
    <row r="144" spans="1:15" x14ac:dyDescent="0.25">
      <c r="A144" s="4">
        <v>46282</v>
      </c>
      <c r="B144" s="11">
        <v>1.0235362400000001</v>
      </c>
      <c r="C144" s="12">
        <v>1.22855866</v>
      </c>
      <c r="D144" s="11">
        <v>1.08743849</v>
      </c>
      <c r="E144" s="11">
        <v>1.49184129</v>
      </c>
      <c r="F144" s="11">
        <v>1.26914003</v>
      </c>
      <c r="G144" s="11">
        <v>1.26914003</v>
      </c>
      <c r="H144" s="12">
        <v>1.01114254</v>
      </c>
      <c r="I144" s="12">
        <v>1.23183869</v>
      </c>
      <c r="J144" s="11">
        <v>1.2397538800000001</v>
      </c>
      <c r="K144" s="11">
        <v>1.3498274699999999</v>
      </c>
      <c r="L144" s="11">
        <v>1.28144792</v>
      </c>
      <c r="M144" s="11">
        <v>4.04088227</v>
      </c>
      <c r="N144" s="11">
        <v>1.2501676100000001</v>
      </c>
      <c r="O144" s="11">
        <v>1.25794154</v>
      </c>
    </row>
    <row r="145" spans="1:15" x14ac:dyDescent="0.25">
      <c r="A145" s="4">
        <v>46283</v>
      </c>
      <c r="B145" s="11">
        <v>1.0260089699999999</v>
      </c>
      <c r="C145" s="12">
        <v>1.23204487</v>
      </c>
      <c r="D145" s="11">
        <v>1.09631334</v>
      </c>
      <c r="E145" s="11">
        <v>1.49517514</v>
      </c>
      <c r="F145" s="11">
        <v>1.2733092399999999</v>
      </c>
      <c r="G145" s="11">
        <v>1.2733092399999999</v>
      </c>
      <c r="H145" s="12">
        <v>1.0129376000000001</v>
      </c>
      <c r="I145" s="12">
        <v>1.2382925</v>
      </c>
      <c r="J145" s="11">
        <v>1.2423725800000001</v>
      </c>
      <c r="K145" s="11">
        <v>1.35145396</v>
      </c>
      <c r="L145" s="11">
        <v>1.28285122</v>
      </c>
      <c r="M145" s="11">
        <v>4.06846934</v>
      </c>
      <c r="N145" s="11">
        <v>1.2505011100000001</v>
      </c>
      <c r="O145" s="11">
        <v>1.2604560199999999</v>
      </c>
    </row>
    <row r="146" spans="1:15" x14ac:dyDescent="0.25">
      <c r="A146" s="4">
        <v>46286</v>
      </c>
      <c r="B146" s="11">
        <v>1.0249857200000001</v>
      </c>
      <c r="C146" s="12">
        <v>1.2316546799999999</v>
      </c>
      <c r="D146" s="11">
        <v>1.0946988600000001</v>
      </c>
      <c r="E146" s="11">
        <v>1.49389584</v>
      </c>
      <c r="F146" s="11">
        <v>1.2723530999999999</v>
      </c>
      <c r="G146" s="11">
        <v>1.2723530999999999</v>
      </c>
      <c r="H146" s="12">
        <v>1.0114465399999999</v>
      </c>
      <c r="I146" s="12">
        <v>1.2340932099999999</v>
      </c>
      <c r="J146" s="11">
        <v>1.24243803</v>
      </c>
      <c r="K146" s="11">
        <v>1.3505734700000001</v>
      </c>
      <c r="L146" s="11">
        <v>1.28300897</v>
      </c>
      <c r="M146" s="11">
        <v>4.0488869200000002</v>
      </c>
      <c r="N146" s="11">
        <v>1.2535023700000001</v>
      </c>
      <c r="O146" s="11">
        <v>1.26070404</v>
      </c>
    </row>
    <row r="147" spans="1:15" x14ac:dyDescent="0.25">
      <c r="A147" s="4">
        <v>46287</v>
      </c>
      <c r="B147" s="11">
        <v>1.0253491100000001</v>
      </c>
      <c r="C147" s="12">
        <v>1.2316048500000001</v>
      </c>
      <c r="D147" s="11">
        <v>1.08999808</v>
      </c>
      <c r="E147" s="11">
        <v>1.4940571</v>
      </c>
      <c r="F147" s="11">
        <v>1.2718339400000001</v>
      </c>
      <c r="G147" s="11">
        <v>1.2718339400000001</v>
      </c>
      <c r="H147" s="12">
        <v>1.01226349</v>
      </c>
      <c r="I147" s="12">
        <v>1.2315646899999999</v>
      </c>
      <c r="J147" s="11">
        <v>1.2424581299999999</v>
      </c>
      <c r="K147" s="11">
        <v>1.3507939900000001</v>
      </c>
      <c r="L147" s="11">
        <v>1.28149376</v>
      </c>
      <c r="M147" s="11">
        <v>4.0369820399999998</v>
      </c>
      <c r="N147" s="11">
        <v>1.25192474</v>
      </c>
      <c r="O147" s="11">
        <v>1.2606395699999999</v>
      </c>
    </row>
    <row r="148" spans="1:15" x14ac:dyDescent="0.25">
      <c r="A148" s="4">
        <v>46288</v>
      </c>
      <c r="B148" s="11">
        <v>1.0240504800000001</v>
      </c>
      <c r="C148" s="12">
        <v>1.2308570400000001</v>
      </c>
      <c r="D148" s="11">
        <v>1.09026702</v>
      </c>
      <c r="E148" s="11">
        <v>1.4939936199999999</v>
      </c>
      <c r="F148" s="11">
        <v>1.26972865</v>
      </c>
      <c r="G148" s="11">
        <v>1.26972865</v>
      </c>
      <c r="H148" s="12">
        <v>1.0113740099999999</v>
      </c>
      <c r="I148" s="12">
        <v>1.2301632499999999</v>
      </c>
      <c r="J148" s="11">
        <v>1.2429414299999999</v>
      </c>
      <c r="K148" s="11">
        <v>1.3492921600000001</v>
      </c>
      <c r="L148" s="11">
        <v>1.2815449699999999</v>
      </c>
      <c r="M148" s="11">
        <v>4.03251793</v>
      </c>
      <c r="N148" s="11">
        <v>1.2503633599999999</v>
      </c>
      <c r="O148" s="11">
        <v>1.26129709</v>
      </c>
    </row>
    <row r="149" spans="1:15" x14ac:dyDescent="0.25">
      <c r="A149" s="4">
        <v>46289</v>
      </c>
      <c r="B149" s="11">
        <v>1.02456668</v>
      </c>
      <c r="C149" s="12">
        <v>1.23299767</v>
      </c>
      <c r="D149" s="11">
        <v>1.0917816499999999</v>
      </c>
      <c r="E149" s="11">
        <v>1.49460317</v>
      </c>
      <c r="F149" s="11">
        <v>1.2679350199999999</v>
      </c>
      <c r="G149" s="11">
        <v>1.2679350199999999</v>
      </c>
      <c r="H149" s="12">
        <v>1.01355576</v>
      </c>
      <c r="I149" s="12">
        <v>1.2290459600000001</v>
      </c>
      <c r="J149" s="11">
        <v>1.2441817799999999</v>
      </c>
      <c r="K149" s="11">
        <v>1.3479110400000001</v>
      </c>
      <c r="L149" s="11">
        <v>1.2796838800000001</v>
      </c>
      <c r="M149" s="11">
        <v>4.0260275500000002</v>
      </c>
      <c r="N149" s="11">
        <v>1.2430008400000001</v>
      </c>
      <c r="O149" s="11">
        <v>1.2624856600000001</v>
      </c>
    </row>
    <row r="150" spans="1:15" x14ac:dyDescent="0.25">
      <c r="A150" s="4">
        <v>46290</v>
      </c>
      <c r="B150" s="11">
        <v>1.0266372500000001</v>
      </c>
      <c r="C150" s="12">
        <v>1.23756672</v>
      </c>
      <c r="D150" s="11">
        <v>1.09202855</v>
      </c>
      <c r="E150" s="11">
        <v>1.4954674699999999</v>
      </c>
      <c r="F150" s="11">
        <v>1.26970279</v>
      </c>
      <c r="G150" s="11">
        <v>1.26970279</v>
      </c>
      <c r="H150" s="12">
        <v>1.0173794300000001</v>
      </c>
      <c r="I150" s="12">
        <v>1.22755076</v>
      </c>
      <c r="J150" s="11">
        <v>1.24693685</v>
      </c>
      <c r="K150" s="11">
        <v>1.3493975899999999</v>
      </c>
      <c r="L150" s="11">
        <v>1.2844502499999999</v>
      </c>
      <c r="M150" s="11">
        <v>4.0183252899999999</v>
      </c>
      <c r="N150" s="11">
        <v>1.2490924465058999</v>
      </c>
      <c r="O150" s="11">
        <v>1.2646537799999999</v>
      </c>
    </row>
    <row r="151" spans="1:15" x14ac:dyDescent="0.25">
      <c r="A151" s="4">
        <f>+WORKDAY(A150,1,Feriados!$A$2:$A$38)</f>
        <v>46293</v>
      </c>
      <c r="B151" s="11">
        <v>1.0268137500000001</v>
      </c>
      <c r="C151" s="12">
        <v>1.2389035100000001</v>
      </c>
      <c r="D151" s="11">
        <v>1.0912433500000001</v>
      </c>
      <c r="E151" s="11">
        <v>1.4964230700000001</v>
      </c>
      <c r="F151" s="11">
        <v>1.2672363799999999</v>
      </c>
      <c r="G151" s="11">
        <v>1.2672363799999999</v>
      </c>
      <c r="H151" s="12">
        <v>1.01737356</v>
      </c>
      <c r="I151" s="12">
        <v>1.23092727</v>
      </c>
      <c r="J151" s="11">
        <v>1.2469439899999999</v>
      </c>
      <c r="K151" s="11">
        <v>1.3470452900000001</v>
      </c>
      <c r="L151" s="11">
        <v>1.2805150000000001</v>
      </c>
      <c r="M151" s="11">
        <v>4.0270874499999998</v>
      </c>
      <c r="N151" s="11">
        <v>1.25957461</v>
      </c>
      <c r="O151" s="11">
        <v>1.26614878</v>
      </c>
    </row>
    <row r="152" spans="1:15" x14ac:dyDescent="0.25">
      <c r="A152" s="4">
        <f>+WORKDAY(A151,1,Feriados!$A$2:$A$38)</f>
        <v>46294</v>
      </c>
      <c r="B152" s="11">
        <v>1.02808225</v>
      </c>
      <c r="C152" s="12">
        <v>1.2374037200000001</v>
      </c>
      <c r="D152" s="11">
        <v>1.08950003</v>
      </c>
      <c r="E152" s="11">
        <v>1.49537925</v>
      </c>
      <c r="F152" s="11">
        <v>1.2681650499999999</v>
      </c>
      <c r="G152" s="11">
        <v>1.2681650499999999</v>
      </c>
      <c r="H152" s="12">
        <v>1.01798637</v>
      </c>
      <c r="I152" s="12">
        <v>1.22842539</v>
      </c>
      <c r="J152" s="11">
        <v>1.2482832399999999</v>
      </c>
      <c r="K152" s="11">
        <v>1.34858872</v>
      </c>
      <c r="L152" s="11">
        <v>1.2803557299999999</v>
      </c>
      <c r="M152" s="11">
        <v>4.0389832800000001</v>
      </c>
      <c r="N152" s="11">
        <v>1.2490000000000001</v>
      </c>
      <c r="O152" s="11">
        <v>1.2669357299999999</v>
      </c>
    </row>
    <row r="153" spans="1:15" x14ac:dyDescent="0.25">
      <c r="A153" s="4">
        <f>+WORKDAY(A152,1,Feriados!$A$2:$A$38)</f>
        <v>46295</v>
      </c>
      <c r="B153" s="11">
        <v>1.0294134500000001</v>
      </c>
      <c r="C153" s="12">
        <v>1.2382487799999999</v>
      </c>
      <c r="D153" s="11">
        <v>1.09140441</v>
      </c>
      <c r="E153" s="11">
        <v>1.4983319500000001</v>
      </c>
      <c r="F153" s="11">
        <v>1.2717833300000001</v>
      </c>
      <c r="G153" s="11">
        <v>1.2717833300000001</v>
      </c>
      <c r="H153" s="12">
        <v>1.0209493199999999</v>
      </c>
      <c r="I153" s="12">
        <v>1.2336243200000001</v>
      </c>
      <c r="J153" s="11">
        <v>1.2495673300000001</v>
      </c>
      <c r="K153" s="11">
        <v>1.3505428799999999</v>
      </c>
      <c r="L153" s="11">
        <v>1.2849759700000001</v>
      </c>
      <c r="M153" s="11">
        <v>4.0563561100000003</v>
      </c>
      <c r="N153" s="11">
        <v>1.2612042400000001</v>
      </c>
      <c r="O153" s="11">
        <v>1.2695935</v>
      </c>
    </row>
    <row r="154" spans="1:15" x14ac:dyDescent="0.25">
      <c r="A154" s="4">
        <f>+WORKDAY(A153,1,Feriados!$A$2:$A$38)</f>
        <v>46296</v>
      </c>
      <c r="B154" s="11">
        <v>1.03125109</v>
      </c>
      <c r="C154" s="12">
        <v>1.2417132399999999</v>
      </c>
      <c r="D154" s="11">
        <v>1.093718</v>
      </c>
      <c r="E154" s="11">
        <v>1.5004969800000001</v>
      </c>
      <c r="F154" s="11">
        <v>1.2719944599999999</v>
      </c>
      <c r="G154" s="11">
        <v>1.2719944599999999</v>
      </c>
      <c r="H154" s="12">
        <v>1.0234993400000001</v>
      </c>
      <c r="I154" s="12">
        <v>1.2413334300000001</v>
      </c>
      <c r="J154" s="11">
        <v>1.25193624</v>
      </c>
      <c r="K154" s="11">
        <v>1.35353996</v>
      </c>
      <c r="L154" s="11">
        <v>1.28608604</v>
      </c>
      <c r="M154" s="11">
        <v>4.0714517199999998</v>
      </c>
      <c r="N154" s="11">
        <v>1.26743049</v>
      </c>
      <c r="O154" s="11">
        <v>1.2704156900000001</v>
      </c>
    </row>
    <row r="155" spans="1:15" x14ac:dyDescent="0.25">
      <c r="A155" s="4">
        <f>+WORKDAY(A154,1,Feriados!$A$2:$A$38)</f>
        <v>46297</v>
      </c>
      <c r="B155" s="11">
        <v>1.034098</v>
      </c>
      <c r="C155" s="12">
        <v>1.24830782</v>
      </c>
      <c r="D155" s="11">
        <v>1.09451115</v>
      </c>
      <c r="E155" s="11">
        <v>1.50454106</v>
      </c>
      <c r="F155" s="11">
        <v>1.2774154</v>
      </c>
      <c r="G155" s="11">
        <v>1.2774154</v>
      </c>
      <c r="H155" s="12">
        <v>1.0262334500000001</v>
      </c>
      <c r="I155" s="12">
        <v>1.2449642299999999</v>
      </c>
      <c r="J155" s="11">
        <v>1.2542973500000001</v>
      </c>
      <c r="K155" s="11">
        <v>1.3561210500000001</v>
      </c>
      <c r="L155" s="11">
        <v>1.2912119900000001</v>
      </c>
      <c r="M155" s="11">
        <v>4.0712235899999998</v>
      </c>
      <c r="N155" s="11">
        <v>1.2653342400000001</v>
      </c>
      <c r="O155" s="11">
        <v>1.27322231</v>
      </c>
    </row>
    <row r="156" spans="1:15" x14ac:dyDescent="0.25">
      <c r="A156" s="4">
        <f>+WORKDAY(A155,1,Feriados!$A$2:$A$38)</f>
        <v>46300</v>
      </c>
      <c r="B156" s="11">
        <v>1.0356566199999999</v>
      </c>
      <c r="C156" s="12">
        <v>1.2505858299999999</v>
      </c>
      <c r="D156" s="11">
        <v>1.0940564699999999</v>
      </c>
      <c r="E156" s="11">
        <v>1.5063051999999999</v>
      </c>
      <c r="F156" s="11">
        <v>1.2804176300000001</v>
      </c>
      <c r="G156" s="11">
        <v>1.2804176300000001</v>
      </c>
      <c r="H156" s="11">
        <v>1.0272334599999999</v>
      </c>
      <c r="I156" s="11">
        <v>1.24899917</v>
      </c>
      <c r="J156" s="11">
        <v>1.2550632399999999</v>
      </c>
      <c r="K156" s="11">
        <v>1.3539822399999999</v>
      </c>
      <c r="L156" s="11">
        <v>1.2890465900000001</v>
      </c>
      <c r="M156" s="11">
        <v>4.0846097800000001</v>
      </c>
      <c r="N156" s="11">
        <v>1.2798166900000001</v>
      </c>
      <c r="O156" s="11">
        <v>1.27487241</v>
      </c>
    </row>
    <row r="157" spans="1:15" x14ac:dyDescent="0.25">
      <c r="A157" s="4">
        <f>+WORKDAY(A156,1,Feriados!$A$2:$A$38)</f>
        <v>46301</v>
      </c>
      <c r="B157" s="11">
        <v>1.03645627</v>
      </c>
      <c r="C157" s="11">
        <v>1.2508325600000001</v>
      </c>
      <c r="D157" s="11">
        <v>1.09775508</v>
      </c>
      <c r="E157" s="11">
        <v>1.5070904899999999</v>
      </c>
      <c r="F157" s="11">
        <v>1.2822477234033001</v>
      </c>
      <c r="G157" s="11">
        <v>1.2822477234033001</v>
      </c>
      <c r="H157" s="11">
        <v>1.0288155000000001</v>
      </c>
      <c r="I157" s="11">
        <v>1.2497534400000001</v>
      </c>
      <c r="J157" s="11">
        <v>1.2552875400000001</v>
      </c>
      <c r="K157" s="11">
        <v>1.3604319</v>
      </c>
      <c r="L157" s="11">
        <v>1.29508263</v>
      </c>
      <c r="M157" s="11">
        <v>4.0900729399999998</v>
      </c>
      <c r="N157" s="11">
        <v>1.2722120800000001</v>
      </c>
      <c r="O157" s="11">
        <v>1.2755211200000001</v>
      </c>
    </row>
    <row r="158" spans="1:15" x14ac:dyDescent="0.25">
      <c r="A158" s="4">
        <f>+WORKDAY(A157,1,Feriados!$A$2:$A$38)</f>
        <v>46302</v>
      </c>
      <c r="B158" s="11">
        <v>1.0368340300000001</v>
      </c>
      <c r="C158" s="11">
        <v>1.24982745</v>
      </c>
      <c r="D158" s="11">
        <v>1.10071407</v>
      </c>
      <c r="E158" s="11">
        <v>1.5086614</v>
      </c>
      <c r="F158" s="11">
        <v>1.2838353899999999</v>
      </c>
      <c r="G158" s="11">
        <v>1.2838353899999999</v>
      </c>
      <c r="H158" s="11">
        <v>1.0285748800000001</v>
      </c>
      <c r="I158" s="11">
        <v>1.2525073600000001</v>
      </c>
      <c r="J158" s="11">
        <v>1.2563465</v>
      </c>
      <c r="K158" s="11">
        <v>1.3638211099999999</v>
      </c>
      <c r="L158" s="11">
        <v>1.2972002300000001</v>
      </c>
      <c r="M158" s="11">
        <v>4.0877081000000004</v>
      </c>
      <c r="N158" s="11">
        <v>1.2782489500000001</v>
      </c>
      <c r="O158" s="11">
        <v>1.27552815</v>
      </c>
    </row>
    <row r="159" spans="1:15" x14ac:dyDescent="0.25">
      <c r="A159" s="4">
        <f>+WORKDAY(A158,1,Feriados!$A$2:$A$38)</f>
        <v>46303</v>
      </c>
      <c r="B159" s="11">
        <v>1.0378953</v>
      </c>
      <c r="C159" s="11">
        <v>1.25065581</v>
      </c>
      <c r="D159" s="11">
        <v>1.1008573500000001</v>
      </c>
      <c r="E159" s="11">
        <v>1.5098224</v>
      </c>
      <c r="F159" s="11">
        <v>1.284648</v>
      </c>
      <c r="G159" s="11">
        <v>1.284648</v>
      </c>
      <c r="H159" s="11">
        <v>1.0286919000000001</v>
      </c>
      <c r="I159" s="11">
        <v>1.2515807800000001</v>
      </c>
      <c r="J159" s="11">
        <v>1.2574978000000001</v>
      </c>
      <c r="K159" s="11">
        <v>1.3664060499999999</v>
      </c>
      <c r="L159" s="11">
        <v>1.30047062</v>
      </c>
      <c r="M159" s="11">
        <v>4.0897800000000002</v>
      </c>
      <c r="N159" s="11">
        <v>1.277136</v>
      </c>
      <c r="O159" s="11">
        <v>1.2763398500000001</v>
      </c>
    </row>
    <row r="160" spans="1:15" x14ac:dyDescent="0.25">
      <c r="A160" s="4">
        <f>+WORKDAY(A159,1,Feriados!$A$2:$A$38)</f>
        <v>46304</v>
      </c>
      <c r="B160" s="11">
        <v>1.0415968799999999</v>
      </c>
      <c r="C160" s="11">
        <v>1.2552227199999999</v>
      </c>
      <c r="D160" s="11">
        <v>1.10295125</v>
      </c>
      <c r="E160" s="11">
        <v>1.51388945</v>
      </c>
      <c r="F160" s="11">
        <v>1.2905880999999999</v>
      </c>
      <c r="G160" s="11">
        <v>1.2905880999999999</v>
      </c>
      <c r="H160" s="11">
        <v>1.0299231099999999</v>
      </c>
      <c r="I160" s="11">
        <v>1.25329863</v>
      </c>
      <c r="J160" s="11">
        <v>1.26211111</v>
      </c>
      <c r="K160" s="11">
        <v>1.36954767</v>
      </c>
      <c r="L160" s="11">
        <v>1.3063048799999999</v>
      </c>
      <c r="M160" s="11">
        <v>4.0949929899999997</v>
      </c>
      <c r="N160" s="11">
        <v>1.27508665</v>
      </c>
      <c r="O160" s="11">
        <v>1.27997136</v>
      </c>
    </row>
    <row r="161" spans="1:15" x14ac:dyDescent="0.25">
      <c r="A161" s="4">
        <f>+WORKDAY(A160,1,Feriados!$A$2:$A$38)</f>
        <v>46308</v>
      </c>
      <c r="B161" s="11">
        <v>1.0406137799999999</v>
      </c>
      <c r="C161" s="11">
        <v>1.25371196</v>
      </c>
      <c r="D161" s="11">
        <v>1.1039651500000001</v>
      </c>
      <c r="E161" s="11">
        <v>1.51469338</v>
      </c>
      <c r="F161" s="11">
        <v>1.2911038800000001</v>
      </c>
      <c r="G161" s="11">
        <v>1.2911038800000001</v>
      </c>
      <c r="H161" s="11">
        <v>1.0300585799999999</v>
      </c>
      <c r="I161" s="11">
        <v>1.25503353</v>
      </c>
      <c r="J161" s="11">
        <v>1.2606297799999999</v>
      </c>
      <c r="K161" s="11">
        <v>1.3711843500000001</v>
      </c>
      <c r="L161" s="11">
        <v>1.3084733</v>
      </c>
      <c r="M161" s="11">
        <v>4.1012386899999997</v>
      </c>
      <c r="N161" s="11">
        <v>1.2767506399999999</v>
      </c>
      <c r="O161" s="11">
        <v>1.2802404700000001</v>
      </c>
    </row>
    <row r="162" spans="1:15" x14ac:dyDescent="0.25">
      <c r="A162" s="4">
        <f>+WORKDAY(A161,1,Feriados!$A$2:$A$38)</f>
        <v>46309</v>
      </c>
      <c r="B162" s="11">
        <v>1.04013471</v>
      </c>
      <c r="C162" s="11">
        <v>1.25551919</v>
      </c>
      <c r="D162" s="11">
        <v>1.1058990500000001</v>
      </c>
      <c r="E162" s="11">
        <v>1.51396376</v>
      </c>
      <c r="F162" s="11">
        <v>1.291304</v>
      </c>
      <c r="G162" s="11">
        <v>1.291304</v>
      </c>
      <c r="H162" s="11">
        <v>1.0310101599999999</v>
      </c>
      <c r="I162" s="11">
        <v>1.2571690799999999</v>
      </c>
      <c r="J162" s="11">
        <v>1.26006102</v>
      </c>
      <c r="K162" s="11">
        <v>1.37126331</v>
      </c>
      <c r="L162" s="11">
        <v>1.3090459999999999</v>
      </c>
      <c r="M162" s="11">
        <v>4.1108232600000001</v>
      </c>
      <c r="N162" s="11">
        <v>1.2759046999999999</v>
      </c>
      <c r="O162" s="11">
        <v>1.2795586299999999</v>
      </c>
    </row>
    <row r="163" spans="1:15" x14ac:dyDescent="0.25">
      <c r="A163" s="4">
        <f>+WORKDAY(A162,1,Feriados!$A$2:$A$38)</f>
        <v>46310</v>
      </c>
      <c r="B163" s="11">
        <v>1.0380406799999999</v>
      </c>
      <c r="C163" s="11">
        <v>1.2569410700000001</v>
      </c>
      <c r="D163" s="11">
        <v>1.11006571</v>
      </c>
      <c r="E163" s="11">
        <v>1.51818404</v>
      </c>
      <c r="F163" s="11">
        <v>1.29516952</v>
      </c>
      <c r="G163" s="11">
        <v>1.29516952</v>
      </c>
      <c r="H163" s="11">
        <v>1.0331343399999999</v>
      </c>
      <c r="I163" s="11">
        <v>1.2612713499999999</v>
      </c>
      <c r="J163" s="11">
        <v>1.2619768200000001</v>
      </c>
      <c r="K163" s="11">
        <v>1.3748229700000001</v>
      </c>
      <c r="L163" s="11">
        <v>1.3161225700000001</v>
      </c>
      <c r="M163" s="11">
        <v>4.1311680300000004</v>
      </c>
      <c r="N163" s="11">
        <v>1.27900002</v>
      </c>
      <c r="O163" s="11">
        <v>1.2819699200000001</v>
      </c>
    </row>
    <row r="164" spans="1:15" x14ac:dyDescent="0.25">
      <c r="A164" s="4">
        <f>+WORKDAY(A163,1,Feriados!$A$2:$A$38)</f>
        <v>46311</v>
      </c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</row>
    <row r="165" spans="1:15" x14ac:dyDescent="0.25">
      <c r="A165" s="4">
        <f>+WORKDAY(A164,1,Feriados!$A$2:$A$38)</f>
        <v>46314</v>
      </c>
      <c r="B165" s="11">
        <v>1.0468394599999999</v>
      </c>
      <c r="C165" s="11">
        <v>1.26114211</v>
      </c>
      <c r="D165" s="11">
        <v>1.1153652149836599</v>
      </c>
      <c r="E165" s="11">
        <v>1.5235683499999999</v>
      </c>
      <c r="F165" s="11">
        <v>1.2980624199999999</v>
      </c>
      <c r="G165" s="11">
        <v>1.2980624199999999</v>
      </c>
      <c r="H165" s="11">
        <v>1.03625682</v>
      </c>
      <c r="I165" s="11">
        <v>1.26702314</v>
      </c>
      <c r="J165" s="11">
        <v>1.2658785699999999</v>
      </c>
      <c r="K165" s="11">
        <v>1.3791142999999999</v>
      </c>
      <c r="L165" s="11">
        <v>1.31927609</v>
      </c>
      <c r="M165" s="11">
        <v>4.1445826600000002</v>
      </c>
      <c r="N165" s="11">
        <v>1.28404717</v>
      </c>
      <c r="O165" s="11">
        <v>1.28512731</v>
      </c>
    </row>
    <row r="166" spans="1:15" x14ac:dyDescent="0.25">
      <c r="A166" s="4">
        <f>+WORKDAY(A165,1,Feriados!$A$2:$A$38)</f>
        <v>46315</v>
      </c>
      <c r="B166" s="11">
        <v>1.04730795</v>
      </c>
      <c r="C166" s="11">
        <v>1.2627306899999999</v>
      </c>
      <c r="D166" s="11">
        <v>1.11652306</v>
      </c>
      <c r="E166" s="11">
        <v>1.5249278500000001</v>
      </c>
      <c r="F166" s="11">
        <v>1.3009219000000001</v>
      </c>
      <c r="G166" s="11">
        <v>1.3009219000000001</v>
      </c>
      <c r="H166" s="11">
        <v>1.03749885</v>
      </c>
      <c r="I166" s="11">
        <v>1.2677409399999999</v>
      </c>
      <c r="J166" s="11">
        <v>1.2667788499999999</v>
      </c>
      <c r="K166" s="11">
        <v>1.38088601</v>
      </c>
      <c r="L166" s="11">
        <v>1.32152921</v>
      </c>
      <c r="M166" s="11">
        <v>4.1452876099999996</v>
      </c>
      <c r="N166" s="11">
        <v>1.28724576</v>
      </c>
      <c r="O166" s="11">
        <v>1.2854595799999999</v>
      </c>
    </row>
    <row r="167" spans="1:15" x14ac:dyDescent="0.25">
      <c r="A167" s="4">
        <f>+WORKDAY(A166,1,Feriados!$A$2:$A$38)</f>
        <v>46316</v>
      </c>
      <c r="B167" s="11">
        <v>1.0483183599999999</v>
      </c>
      <c r="C167" s="11">
        <v>1.26323282</v>
      </c>
      <c r="D167" s="11">
        <v>1.1193425800000001</v>
      </c>
      <c r="E167" s="11">
        <v>1.5252739099999999</v>
      </c>
      <c r="F167" s="11">
        <v>1.3035093099999999</v>
      </c>
      <c r="G167" s="11">
        <v>1.3035093099999999</v>
      </c>
      <c r="H167" s="11">
        <v>1.0379849699999999</v>
      </c>
      <c r="I167" s="11">
        <v>1.26960213</v>
      </c>
      <c r="J167" s="11">
        <v>1.2678373000000001</v>
      </c>
      <c r="K167" s="11">
        <v>1.38344445</v>
      </c>
      <c r="L167" s="11">
        <v>1.31171438</v>
      </c>
      <c r="M167" s="11">
        <v>4.15149597</v>
      </c>
      <c r="N167" s="11">
        <v>1.2895944800000001</v>
      </c>
      <c r="O167" s="11">
        <v>1.2865622699999999</v>
      </c>
    </row>
    <row r="168" spans="1:15" x14ac:dyDescent="0.25">
      <c r="A168" s="4">
        <f>+WORKDAY(A167,1,Feriados!$A$2:$A$38)</f>
        <v>46317</v>
      </c>
      <c r="B168" s="11">
        <v>1.0484262600000001</v>
      </c>
      <c r="C168" s="11">
        <v>1.26454932</v>
      </c>
      <c r="D168" s="11">
        <v>1.1209920600000001</v>
      </c>
      <c r="E168" s="11">
        <v>1.52536549</v>
      </c>
      <c r="F168" s="11">
        <v>1.30360034</v>
      </c>
      <c r="G168" s="11">
        <v>1.30360034</v>
      </c>
      <c r="H168" s="11">
        <v>1.0381291100000001</v>
      </c>
      <c r="I168" s="11">
        <v>1.2698233400000001</v>
      </c>
      <c r="J168" s="11">
        <v>1.2685053399999999</v>
      </c>
      <c r="K168" s="11">
        <v>1.3831674300000001</v>
      </c>
      <c r="L168" s="11">
        <v>1.3173866117092099</v>
      </c>
      <c r="M168" s="11">
        <v>4.15369308</v>
      </c>
      <c r="N168" s="11">
        <v>1.29099644</v>
      </c>
      <c r="O168" s="11">
        <v>1.2871974799999999</v>
      </c>
    </row>
    <row r="169" spans="1:15" x14ac:dyDescent="0.25">
      <c r="A169" s="4">
        <f>+WORKDAY(A168,1,Feriados!$A$2:$A$38)</f>
        <v>46318</v>
      </c>
      <c r="B169" s="11">
        <f>INDEX('[1]Precios Históricos'!$A:$AZ,MATCH(B$1,'[1]Precios Históricos'!$B:$B,0),MATCH($A169,'[1]Precios Históricos'!$6:$6,0))</f>
        <v>1.05003987</v>
      </c>
      <c r="C169" s="11">
        <f>INDEX('[1]Precios Históricos'!$A:$AZ,MATCH(C$1,'[1]Precios Históricos'!$B:$B,0),MATCH($A169,'[1]Precios Históricos'!$6:$6,0))</f>
        <v>1.2669077200000001</v>
      </c>
      <c r="D169" s="11">
        <f>INDEX('[1]Precios Históricos'!$A:$AZ,MATCH(D$1,'[1]Precios Históricos'!$B:$B,0),MATCH($A169,'[1]Precios Históricos'!$6:$6,0))</f>
        <v>1.12313106</v>
      </c>
      <c r="E169" s="11">
        <f>INDEX('[1]Precios Históricos'!$A:$AZ,MATCH(E$1,'[1]Precios Históricos'!$B:$B,0),MATCH($A169,'[1]Precios Históricos'!$6:$6,0))</f>
        <v>1.52741438</v>
      </c>
      <c r="F169" s="11">
        <f>INDEX('[1]Precios Históricos'!$A:$AZ,MATCH(F$1,'[1]Precios Históricos'!$B:$B,0),MATCH($A169,'[1]Precios Históricos'!$6:$6,0))</f>
        <v>1.3062423299999999</v>
      </c>
      <c r="G169" s="11">
        <f>INDEX('[1]Precios Históricos'!$A:$AZ,MATCH(G$1,'[1]Precios Históricos'!$B:$B,0),MATCH($A169,'[1]Precios Históricos'!$6:$6,0))</f>
        <v>1.3062423299999999</v>
      </c>
      <c r="H169" s="11">
        <f>INDEX('[1]Precios Históricos'!$A:$AZ,MATCH(H$1,'[1]Precios Históricos'!$B:$B,0),MATCH($A169,'[1]Precios Históricos'!$6:$6,0))</f>
        <v>1.0403325299999999</v>
      </c>
      <c r="I169" s="11">
        <f>INDEX('[1]Precios Históricos'!$A:$AZ,MATCH(I$1,'[1]Precios Históricos'!$B:$B,0),MATCH($A169,'[1]Precios Históricos'!$6:$6,0))</f>
        <v>1.2711267399999999</v>
      </c>
      <c r="J169" s="11">
        <f>INDEX('[1]Precios Históricos'!$A:$AZ,MATCH(J$1,'[1]Precios Históricos'!$B:$B,0),MATCH($A169,'[1]Precios Históricos'!$6:$6,0))</f>
        <v>1.2708400799999999</v>
      </c>
      <c r="K169" s="11">
        <f>INDEX('[1]Precios Históricos'!$A:$AZ,MATCH(K$1,'[1]Precios Históricos'!$B:$B,0),MATCH($A169,'[1]Precios Históricos'!$6:$6,0))</f>
        <v>1.3837471800000001</v>
      </c>
      <c r="L169" s="11">
        <f>INDEX('[1]Precios Históricos'!$A:$AZ,MATCH(L$1,'[1]Precios Históricos'!$B:$B,0),MATCH($A169,'[1]Precios Históricos'!$6:$6,0))</f>
        <v>1.325</v>
      </c>
      <c r="M169" s="11">
        <f>INDEX('[1]Precios Históricos'!$A:$AZ,MATCH(M$1,'[1]Precios Históricos'!$B:$B,0),MATCH($A169,'[1]Precios Históricos'!$6:$6,0))</f>
        <v>4.1552726699999996</v>
      </c>
      <c r="N169" s="11">
        <f>INDEX('[1]Precios Históricos'!$A:$AZ,MATCH(N$1,'[1]Precios Históricos'!$B:$B,0),MATCH($A169,'[1]Precios Históricos'!$6:$6,0))</f>
        <v>1.2914996599999999</v>
      </c>
      <c r="O169" s="11">
        <f>INDEX('[1]Precios Históricos'!$A:$AZ,MATCH(O$1,'[1]Precios Históricos'!$B:$B,0),MATCH($A169,'[1]Precios Históricos'!$6:$6,0))</f>
        <v>1.2895291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42"/>
  <sheetViews>
    <sheetView topLeftCell="A409" workbookViewId="0">
      <selection activeCell="B440" sqref="B440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34.3125</v>
      </c>
    </row>
    <row r="3" spans="1:2" x14ac:dyDescent="0.25">
      <c r="A3" s="2">
        <v>45660</v>
      </c>
      <c r="B3" s="3">
        <v>34.5</v>
      </c>
    </row>
    <row r="4" spans="1:2" x14ac:dyDescent="0.25">
      <c r="A4" s="2">
        <v>45663</v>
      </c>
      <c r="B4" s="3">
        <v>34.75</v>
      </c>
    </row>
    <row r="5" spans="1:2" x14ac:dyDescent="0.25">
      <c r="A5" s="2">
        <v>45664</v>
      </c>
      <c r="B5" s="3">
        <v>34.8125</v>
      </c>
    </row>
    <row r="6" spans="1:2" x14ac:dyDescent="0.25">
      <c r="A6" s="2">
        <v>45665</v>
      </c>
      <c r="B6" s="3">
        <v>33.9375</v>
      </c>
    </row>
    <row r="7" spans="1:2" x14ac:dyDescent="0.25">
      <c r="A7" s="2">
        <v>45666</v>
      </c>
      <c r="B7" s="3">
        <v>34.1875</v>
      </c>
    </row>
    <row r="8" spans="1:2" x14ac:dyDescent="0.25">
      <c r="A8" s="2">
        <v>45667</v>
      </c>
      <c r="B8" s="3">
        <v>34.1875</v>
      </c>
    </row>
    <row r="9" spans="1:2" x14ac:dyDescent="0.25">
      <c r="A9" s="2">
        <v>45670</v>
      </c>
      <c r="B9" s="3">
        <v>34.25</v>
      </c>
    </row>
    <row r="10" spans="1:2" x14ac:dyDescent="0.25">
      <c r="A10" s="2">
        <v>45671</v>
      </c>
      <c r="B10" s="3">
        <v>34.5625</v>
      </c>
    </row>
    <row r="11" spans="1:2" x14ac:dyDescent="0.25">
      <c r="A11" s="2">
        <v>45672</v>
      </c>
      <c r="B11" s="3">
        <v>32.875</v>
      </c>
    </row>
    <row r="12" spans="1:2" x14ac:dyDescent="0.25">
      <c r="A12" s="2">
        <v>45673</v>
      </c>
      <c r="B12" s="3">
        <v>33.1875</v>
      </c>
    </row>
    <row r="13" spans="1:2" x14ac:dyDescent="0.25">
      <c r="A13" s="2">
        <v>45674</v>
      </c>
      <c r="B13" s="3">
        <v>32.5625</v>
      </c>
    </row>
    <row r="14" spans="1:2" x14ac:dyDescent="0.25">
      <c r="A14" s="2">
        <v>45677</v>
      </c>
      <c r="B14" s="3">
        <v>32.8125</v>
      </c>
    </row>
    <row r="15" spans="1:2" x14ac:dyDescent="0.25">
      <c r="A15" s="2">
        <v>45678</v>
      </c>
      <c r="B15" s="3">
        <v>33.1875</v>
      </c>
    </row>
    <row r="16" spans="1:2" x14ac:dyDescent="0.25">
      <c r="A16" s="2">
        <v>45679</v>
      </c>
      <c r="B16" s="3">
        <v>33.1875</v>
      </c>
    </row>
    <row r="17" spans="1:2" x14ac:dyDescent="0.25">
      <c r="A17" s="2">
        <v>45680</v>
      </c>
      <c r="B17" s="3">
        <v>33.3125</v>
      </c>
    </row>
    <row r="18" spans="1:2" x14ac:dyDescent="0.25">
      <c r="A18" s="2">
        <v>45681</v>
      </c>
      <c r="B18" s="3">
        <v>33.9375</v>
      </c>
    </row>
    <row r="19" spans="1:2" x14ac:dyDescent="0.25">
      <c r="A19" s="2">
        <v>45684</v>
      </c>
      <c r="B19" s="3">
        <v>32.75</v>
      </c>
    </row>
    <row r="20" spans="1:2" x14ac:dyDescent="0.25">
      <c r="A20" s="2">
        <v>45685</v>
      </c>
      <c r="B20" s="3">
        <v>33.875</v>
      </c>
    </row>
    <row r="21" spans="1:2" x14ac:dyDescent="0.25">
      <c r="A21" s="2">
        <v>45686</v>
      </c>
      <c r="B21" s="3">
        <v>33.8125</v>
      </c>
    </row>
    <row r="22" spans="1:2" x14ac:dyDescent="0.25">
      <c r="A22" s="2">
        <v>45687</v>
      </c>
      <c r="B22" s="3">
        <v>33.5</v>
      </c>
    </row>
    <row r="23" spans="1:2" x14ac:dyDescent="0.25">
      <c r="A23" s="2">
        <v>45688</v>
      </c>
      <c r="B23" s="3">
        <v>30.625</v>
      </c>
    </row>
    <row r="24" spans="1:2" x14ac:dyDescent="0.25">
      <c r="A24" s="2">
        <v>45691</v>
      </c>
      <c r="B24" s="3">
        <v>30.4375</v>
      </c>
    </row>
    <row r="25" spans="1:2" x14ac:dyDescent="0.25">
      <c r="A25" s="2">
        <v>45692</v>
      </c>
      <c r="B25" s="3">
        <v>30.6875</v>
      </c>
    </row>
    <row r="26" spans="1:2" x14ac:dyDescent="0.25">
      <c r="A26" s="2">
        <v>45693</v>
      </c>
      <c r="B26" s="3">
        <v>30.8125</v>
      </c>
    </row>
    <row r="27" spans="1:2" x14ac:dyDescent="0.25">
      <c r="A27" s="2">
        <v>45694</v>
      </c>
      <c r="B27" s="3">
        <v>30.625</v>
      </c>
    </row>
    <row r="28" spans="1:2" x14ac:dyDescent="0.25">
      <c r="A28" s="2">
        <v>45695</v>
      </c>
      <c r="B28" s="3">
        <v>30.5</v>
      </c>
    </row>
    <row r="29" spans="1:2" x14ac:dyDescent="0.25">
      <c r="A29" s="2">
        <v>45698</v>
      </c>
      <c r="B29" s="3">
        <v>30.4375</v>
      </c>
    </row>
    <row r="30" spans="1:2" x14ac:dyDescent="0.25">
      <c r="A30" s="2">
        <v>45699</v>
      </c>
      <c r="B30" s="3">
        <v>30.375</v>
      </c>
    </row>
    <row r="31" spans="1:2" x14ac:dyDescent="0.25">
      <c r="A31" s="2">
        <v>45700</v>
      </c>
      <c r="B31" s="3">
        <v>30.1875</v>
      </c>
    </row>
    <row r="32" spans="1:2" x14ac:dyDescent="0.25">
      <c r="A32" s="2">
        <v>45701</v>
      </c>
      <c r="B32" s="3">
        <v>30.25</v>
      </c>
    </row>
    <row r="33" spans="1:2" x14ac:dyDescent="0.25">
      <c r="A33" s="2">
        <v>45702</v>
      </c>
      <c r="B33" s="3">
        <v>30.1875</v>
      </c>
    </row>
    <row r="34" spans="1:2" x14ac:dyDescent="0.25">
      <c r="A34" s="2">
        <v>45705</v>
      </c>
      <c r="B34" s="3">
        <v>30.3125</v>
      </c>
    </row>
    <row r="35" spans="1:2" x14ac:dyDescent="0.25">
      <c r="A35" s="2">
        <v>45706</v>
      </c>
      <c r="B35" s="3">
        <v>30.125</v>
      </c>
    </row>
    <row r="36" spans="1:2" x14ac:dyDescent="0.25">
      <c r="A36" s="2">
        <v>45707</v>
      </c>
      <c r="B36" s="3">
        <v>29.9375</v>
      </c>
    </row>
    <row r="37" spans="1:2" x14ac:dyDescent="0.25">
      <c r="A37" s="2">
        <v>45708</v>
      </c>
      <c r="B37" s="3">
        <v>28.25</v>
      </c>
    </row>
    <row r="38" spans="1:2" x14ac:dyDescent="0.25">
      <c r="A38" s="2">
        <v>45709</v>
      </c>
      <c r="B38" s="3">
        <v>29.4375</v>
      </c>
    </row>
    <row r="39" spans="1:2" x14ac:dyDescent="0.25">
      <c r="A39" s="2">
        <v>45712</v>
      </c>
      <c r="B39" s="3">
        <v>29.0625</v>
      </c>
    </row>
    <row r="40" spans="1:2" x14ac:dyDescent="0.25">
      <c r="A40" s="2">
        <v>45713</v>
      </c>
      <c r="B40" s="3">
        <v>29.0625</v>
      </c>
    </row>
    <row r="41" spans="1:2" x14ac:dyDescent="0.25">
      <c r="A41" s="2">
        <v>45714</v>
      </c>
      <c r="B41" s="3">
        <v>29.375</v>
      </c>
    </row>
    <row r="42" spans="1:2" x14ac:dyDescent="0.25">
      <c r="A42" s="2">
        <v>45715</v>
      </c>
      <c r="B42" s="3">
        <v>29.5625</v>
      </c>
    </row>
    <row r="43" spans="1:2" x14ac:dyDescent="0.25">
      <c r="A43" s="2">
        <v>45716</v>
      </c>
      <c r="B43" s="3">
        <v>29.625</v>
      </c>
    </row>
    <row r="44" spans="1:2" x14ac:dyDescent="0.25">
      <c r="A44" s="2">
        <v>45721</v>
      </c>
      <c r="B44" s="3">
        <v>29.5625</v>
      </c>
    </row>
    <row r="45" spans="1:2" x14ac:dyDescent="0.25">
      <c r="A45" s="2">
        <v>45722</v>
      </c>
      <c r="B45" s="3">
        <v>29.8125</v>
      </c>
    </row>
    <row r="46" spans="1:2" x14ac:dyDescent="0.25">
      <c r="A46" s="2">
        <v>45723</v>
      </c>
      <c r="B46" s="3">
        <v>29.875</v>
      </c>
    </row>
    <row r="47" spans="1:2" x14ac:dyDescent="0.25">
      <c r="A47" s="2">
        <v>45726</v>
      </c>
      <c r="B47" s="3">
        <v>29.875</v>
      </c>
    </row>
    <row r="48" spans="1:2" x14ac:dyDescent="0.25">
      <c r="A48" s="2">
        <v>45727</v>
      </c>
      <c r="B48" s="3">
        <v>29.9375</v>
      </c>
    </row>
    <row r="49" spans="1:2" x14ac:dyDescent="0.25">
      <c r="A49" s="2">
        <v>45728</v>
      </c>
      <c r="B49" s="3">
        <v>30.125</v>
      </c>
    </row>
    <row r="50" spans="1:2" x14ac:dyDescent="0.25">
      <c r="A50" s="2">
        <v>45729</v>
      </c>
      <c r="B50" s="3">
        <v>30.1875</v>
      </c>
    </row>
    <row r="51" spans="1:2" x14ac:dyDescent="0.25">
      <c r="A51" s="2">
        <v>45730</v>
      </c>
      <c r="B51" s="3">
        <v>30.625</v>
      </c>
    </row>
    <row r="52" spans="1:2" x14ac:dyDescent="0.25">
      <c r="A52" s="2">
        <v>45733</v>
      </c>
      <c r="B52" s="3">
        <v>30.8125</v>
      </c>
    </row>
    <row r="53" spans="1:2" x14ac:dyDescent="0.25">
      <c r="A53" s="2">
        <v>45734</v>
      </c>
      <c r="B53" s="3">
        <v>31.0625</v>
      </c>
    </row>
    <row r="54" spans="1:2" x14ac:dyDescent="0.25">
      <c r="A54" s="2">
        <v>45735</v>
      </c>
      <c r="B54" s="3">
        <v>31.375</v>
      </c>
    </row>
    <row r="55" spans="1:2" x14ac:dyDescent="0.25">
      <c r="A55" s="2">
        <v>45736</v>
      </c>
      <c r="B55" s="3">
        <v>31.625</v>
      </c>
    </row>
    <row r="56" spans="1:2" x14ac:dyDescent="0.25">
      <c r="A56" s="2">
        <v>45737</v>
      </c>
      <c r="B56" s="3">
        <v>31.5</v>
      </c>
    </row>
    <row r="57" spans="1:2" x14ac:dyDescent="0.25">
      <c r="A57" s="2">
        <v>45741</v>
      </c>
      <c r="B57" s="3">
        <v>31.3125</v>
      </c>
    </row>
    <row r="58" spans="1:2" x14ac:dyDescent="0.25">
      <c r="A58" s="2">
        <v>45742</v>
      </c>
      <c r="B58" s="3">
        <v>31.875</v>
      </c>
    </row>
    <row r="59" spans="1:2" x14ac:dyDescent="0.25">
      <c r="A59" s="2">
        <v>45743</v>
      </c>
      <c r="B59" s="3">
        <v>31.6875</v>
      </c>
    </row>
    <row r="60" spans="1:2" x14ac:dyDescent="0.25">
      <c r="A60" s="2">
        <v>45744</v>
      </c>
      <c r="B60" s="3">
        <v>31.875</v>
      </c>
    </row>
    <row r="61" spans="1:2" x14ac:dyDescent="0.25">
      <c r="A61" s="2">
        <v>45747</v>
      </c>
      <c r="B61" s="3">
        <v>32.0625</v>
      </c>
    </row>
    <row r="62" spans="1:2" x14ac:dyDescent="0.25">
      <c r="A62" s="2">
        <v>45748</v>
      </c>
      <c r="B62" s="3">
        <v>32.625</v>
      </c>
    </row>
    <row r="63" spans="1:2" x14ac:dyDescent="0.25">
      <c r="A63" s="2">
        <v>45750</v>
      </c>
      <c r="B63" s="3">
        <v>32.9375</v>
      </c>
    </row>
    <row r="64" spans="1:2" x14ac:dyDescent="0.25">
      <c r="A64" s="2">
        <v>45751</v>
      </c>
      <c r="B64" s="3">
        <v>32.4375</v>
      </c>
    </row>
    <row r="65" spans="1:2" x14ac:dyDescent="0.25">
      <c r="A65" s="2">
        <v>45754</v>
      </c>
      <c r="B65" s="3">
        <v>33.25</v>
      </c>
    </row>
    <row r="66" spans="1:2" x14ac:dyDescent="0.25">
      <c r="A66" s="2">
        <v>45755</v>
      </c>
      <c r="B66" s="3">
        <v>32.8125</v>
      </c>
    </row>
    <row r="67" spans="1:2" x14ac:dyDescent="0.25">
      <c r="A67" s="2">
        <v>45756</v>
      </c>
      <c r="B67" s="3">
        <v>32.875</v>
      </c>
    </row>
    <row r="68" spans="1:2" x14ac:dyDescent="0.25">
      <c r="A68" s="2">
        <v>45757</v>
      </c>
      <c r="B68" s="3">
        <v>33.875</v>
      </c>
    </row>
    <row r="69" spans="1:2" x14ac:dyDescent="0.25">
      <c r="A69" s="2">
        <v>45758</v>
      </c>
      <c r="B69" s="3">
        <v>34.1875</v>
      </c>
    </row>
    <row r="70" spans="1:2" x14ac:dyDescent="0.25">
      <c r="A70" s="2">
        <v>45761</v>
      </c>
      <c r="B70" s="3">
        <v>39.1875</v>
      </c>
    </row>
    <row r="71" spans="1:2" x14ac:dyDescent="0.25">
      <c r="A71" s="2">
        <v>45762</v>
      </c>
      <c r="B71" s="3">
        <v>36.5</v>
      </c>
    </row>
    <row r="72" spans="1:2" x14ac:dyDescent="0.25">
      <c r="A72" s="2">
        <v>45763</v>
      </c>
      <c r="B72" s="3">
        <v>39.125</v>
      </c>
    </row>
    <row r="73" spans="1:2" x14ac:dyDescent="0.25">
      <c r="A73" s="2">
        <v>45768</v>
      </c>
      <c r="B73" s="3">
        <v>36.5</v>
      </c>
    </row>
    <row r="74" spans="1:2" x14ac:dyDescent="0.25">
      <c r="A74" s="2">
        <v>45769</v>
      </c>
      <c r="B74" s="3">
        <v>35.6875</v>
      </c>
    </row>
    <row r="75" spans="1:2" x14ac:dyDescent="0.25">
      <c r="A75" s="2">
        <v>45770</v>
      </c>
      <c r="B75" s="3">
        <v>35.625</v>
      </c>
    </row>
    <row r="76" spans="1:2" x14ac:dyDescent="0.25">
      <c r="A76" s="2">
        <v>45771</v>
      </c>
      <c r="B76" s="3">
        <v>35.0625</v>
      </c>
    </row>
    <row r="77" spans="1:2" x14ac:dyDescent="0.25">
      <c r="A77" s="2">
        <v>45772</v>
      </c>
      <c r="B77" s="3">
        <v>34.875</v>
      </c>
    </row>
    <row r="78" spans="1:2" x14ac:dyDescent="0.25">
      <c r="A78" s="2">
        <v>45775</v>
      </c>
      <c r="B78" s="3">
        <v>34.8125</v>
      </c>
    </row>
    <row r="79" spans="1:2" x14ac:dyDescent="0.25">
      <c r="A79" s="2">
        <v>45776</v>
      </c>
      <c r="B79" s="3">
        <v>34.0625</v>
      </c>
    </row>
    <row r="80" spans="1:2" x14ac:dyDescent="0.25">
      <c r="A80" s="2">
        <v>45777</v>
      </c>
      <c r="B80" s="3">
        <v>34.625</v>
      </c>
    </row>
    <row r="81" spans="1:2" x14ac:dyDescent="0.25">
      <c r="A81" s="2">
        <v>45782</v>
      </c>
      <c r="B81" s="3">
        <v>33.4375</v>
      </c>
    </row>
    <row r="82" spans="1:2" x14ac:dyDescent="0.25">
      <c r="A82" s="2">
        <v>45783</v>
      </c>
      <c r="B82" s="3">
        <v>35.3125</v>
      </c>
    </row>
    <row r="83" spans="1:2" x14ac:dyDescent="0.25">
      <c r="A83" s="2">
        <v>45784</v>
      </c>
      <c r="B83" s="3">
        <v>34.8125</v>
      </c>
    </row>
    <row r="84" spans="1:2" x14ac:dyDescent="0.25">
      <c r="A84" s="2">
        <v>45785</v>
      </c>
      <c r="B84" s="3">
        <v>34.5</v>
      </c>
    </row>
    <row r="85" spans="1:2" x14ac:dyDescent="0.25">
      <c r="A85" s="2">
        <v>45786</v>
      </c>
      <c r="B85" s="3">
        <v>34.25</v>
      </c>
    </row>
    <row r="86" spans="1:2" x14ac:dyDescent="0.25">
      <c r="A86" s="2">
        <v>45789</v>
      </c>
      <c r="B86" s="3">
        <v>33.8125</v>
      </c>
    </row>
    <row r="87" spans="1:2" x14ac:dyDescent="0.25">
      <c r="A87" s="2">
        <v>45790</v>
      </c>
      <c r="B87" s="3">
        <v>34.875</v>
      </c>
    </row>
    <row r="88" spans="1:2" x14ac:dyDescent="0.25">
      <c r="A88" s="2">
        <v>45791</v>
      </c>
      <c r="B88" s="3">
        <v>34.5</v>
      </c>
    </row>
    <row r="89" spans="1:2" x14ac:dyDescent="0.25">
      <c r="A89" s="2">
        <v>45792</v>
      </c>
      <c r="B89" s="3">
        <v>34.5625</v>
      </c>
    </row>
    <row r="90" spans="1:2" x14ac:dyDescent="0.25">
      <c r="A90" s="2">
        <v>45793</v>
      </c>
      <c r="B90" s="3">
        <v>32.0625</v>
      </c>
    </row>
    <row r="91" spans="1:2" x14ac:dyDescent="0.25">
      <c r="A91" s="2">
        <v>45796</v>
      </c>
      <c r="B91" s="3">
        <v>34.6875</v>
      </c>
    </row>
    <row r="92" spans="1:2" x14ac:dyDescent="0.25">
      <c r="A92" s="2">
        <v>45797</v>
      </c>
      <c r="B92" s="3">
        <v>34.6875</v>
      </c>
    </row>
    <row r="93" spans="1:2" x14ac:dyDescent="0.25">
      <c r="A93" s="2">
        <v>45798</v>
      </c>
      <c r="B93" s="3">
        <v>34.125</v>
      </c>
    </row>
    <row r="94" spans="1:2" x14ac:dyDescent="0.25">
      <c r="A94" s="2">
        <v>45799</v>
      </c>
      <c r="B94" s="3">
        <v>34.0625</v>
      </c>
    </row>
    <row r="95" spans="1:2" x14ac:dyDescent="0.25">
      <c r="A95" s="2">
        <v>45800</v>
      </c>
      <c r="B95" s="3">
        <v>34.5625</v>
      </c>
    </row>
    <row r="96" spans="1:2" x14ac:dyDescent="0.25">
      <c r="A96" s="2">
        <v>45803</v>
      </c>
      <c r="B96" s="3">
        <v>33.6875</v>
      </c>
    </row>
    <row r="97" spans="1:2" x14ac:dyDescent="0.25">
      <c r="A97" s="2">
        <v>45804</v>
      </c>
      <c r="B97" s="3">
        <v>34.1875</v>
      </c>
    </row>
    <row r="98" spans="1:2" x14ac:dyDescent="0.25">
      <c r="A98" s="2">
        <v>45805</v>
      </c>
      <c r="B98" s="3">
        <v>33.875</v>
      </c>
    </row>
    <row r="99" spans="1:2" x14ac:dyDescent="0.25">
      <c r="A99" s="2">
        <v>45806</v>
      </c>
      <c r="B99" s="3">
        <v>34.0625</v>
      </c>
    </row>
    <row r="100" spans="1:2" x14ac:dyDescent="0.25">
      <c r="A100" s="2">
        <v>45807</v>
      </c>
      <c r="B100" s="3">
        <v>33.1875</v>
      </c>
    </row>
    <row r="101" spans="1:2" x14ac:dyDescent="0.25">
      <c r="A101" s="2">
        <v>45810</v>
      </c>
      <c r="B101" s="3">
        <v>34.25</v>
      </c>
    </row>
    <row r="102" spans="1:2" x14ac:dyDescent="0.25">
      <c r="A102" s="2">
        <v>45811</v>
      </c>
      <c r="B102" s="3">
        <v>34.4375</v>
      </c>
    </row>
    <row r="103" spans="1:2" x14ac:dyDescent="0.25">
      <c r="A103" s="2">
        <v>45812</v>
      </c>
      <c r="B103" s="3">
        <v>33</v>
      </c>
    </row>
    <row r="104" spans="1:2" x14ac:dyDescent="0.25">
      <c r="A104" s="2">
        <v>45813</v>
      </c>
      <c r="B104" s="3">
        <v>33.5625</v>
      </c>
    </row>
    <row r="105" spans="1:2" x14ac:dyDescent="0.25">
      <c r="A105" s="2">
        <v>45814</v>
      </c>
      <c r="B105" s="3">
        <v>34.0625</v>
      </c>
    </row>
    <row r="106" spans="1:2" x14ac:dyDescent="0.25">
      <c r="A106" s="2">
        <v>45817</v>
      </c>
      <c r="B106" s="3">
        <v>32.9375</v>
      </c>
    </row>
    <row r="107" spans="1:2" x14ac:dyDescent="0.25">
      <c r="A107" s="2">
        <v>45818</v>
      </c>
      <c r="B107" s="3">
        <v>34</v>
      </c>
    </row>
    <row r="108" spans="1:2" x14ac:dyDescent="0.25">
      <c r="A108" s="2">
        <v>45819</v>
      </c>
      <c r="B108" s="3">
        <v>33.75</v>
      </c>
    </row>
    <row r="109" spans="1:2" x14ac:dyDescent="0.25">
      <c r="A109" s="2">
        <v>45820</v>
      </c>
      <c r="B109" s="3">
        <v>33.8125</v>
      </c>
    </row>
    <row r="110" spans="1:2" x14ac:dyDescent="0.25">
      <c r="A110" s="2">
        <v>45821</v>
      </c>
      <c r="B110" s="3">
        <v>33.5625</v>
      </c>
    </row>
    <row r="111" spans="1:2" x14ac:dyDescent="0.25">
      <c r="A111" s="2">
        <v>45825</v>
      </c>
      <c r="B111" s="3">
        <v>33.9375</v>
      </c>
    </row>
    <row r="112" spans="1:2" x14ac:dyDescent="0.25">
      <c r="A112" s="2">
        <v>45826</v>
      </c>
      <c r="B112" s="3">
        <v>32.375</v>
      </c>
    </row>
    <row r="113" spans="1:2" x14ac:dyDescent="0.25">
      <c r="A113" s="2">
        <v>45827</v>
      </c>
      <c r="B113" s="3">
        <v>34.0625</v>
      </c>
    </row>
    <row r="114" spans="1:2" x14ac:dyDescent="0.25">
      <c r="A114" s="2">
        <v>45831</v>
      </c>
      <c r="B114" s="3">
        <v>33.25</v>
      </c>
    </row>
    <row r="115" spans="1:2" x14ac:dyDescent="0.25">
      <c r="A115" s="2">
        <v>45832</v>
      </c>
      <c r="B115" s="3">
        <v>34.25</v>
      </c>
    </row>
    <row r="116" spans="1:2" x14ac:dyDescent="0.25">
      <c r="A116" s="2">
        <v>45833</v>
      </c>
      <c r="B116" s="3">
        <v>34</v>
      </c>
    </row>
    <row r="117" spans="1:2" x14ac:dyDescent="0.25">
      <c r="A117" s="2">
        <v>45834</v>
      </c>
      <c r="B117" s="3">
        <v>33.25</v>
      </c>
    </row>
    <row r="118" spans="1:2" x14ac:dyDescent="0.25">
      <c r="A118" s="2">
        <v>45835</v>
      </c>
      <c r="B118" s="3">
        <v>34.3125</v>
      </c>
    </row>
    <row r="119" spans="1:2" x14ac:dyDescent="0.25">
      <c r="A119" s="2">
        <v>45838</v>
      </c>
      <c r="B119" s="3">
        <v>33.625</v>
      </c>
    </row>
    <row r="120" spans="1:2" x14ac:dyDescent="0.25">
      <c r="A120" s="2">
        <v>45839</v>
      </c>
      <c r="B120" s="3">
        <v>34.1875</v>
      </c>
    </row>
    <row r="121" spans="1:2" x14ac:dyDescent="0.25">
      <c r="A121" s="2">
        <v>45840</v>
      </c>
      <c r="B121" s="3">
        <v>34.1875</v>
      </c>
    </row>
    <row r="122" spans="1:2" x14ac:dyDescent="0.25">
      <c r="A122" s="2">
        <v>45841</v>
      </c>
      <c r="B122" s="3">
        <v>34.0625</v>
      </c>
    </row>
    <row r="123" spans="1:2" x14ac:dyDescent="0.25">
      <c r="A123" s="2">
        <v>45842</v>
      </c>
      <c r="B123" s="3">
        <v>33.75</v>
      </c>
    </row>
    <row r="124" spans="1:2" x14ac:dyDescent="0.25">
      <c r="A124" s="2">
        <v>45845</v>
      </c>
      <c r="B124" s="3">
        <v>33.625</v>
      </c>
    </row>
    <row r="125" spans="1:2" x14ac:dyDescent="0.25">
      <c r="A125" s="2">
        <v>45846</v>
      </c>
      <c r="B125" s="3">
        <v>33.5</v>
      </c>
    </row>
    <row r="126" spans="1:2" x14ac:dyDescent="0.25">
      <c r="A126" s="2">
        <v>45848</v>
      </c>
      <c r="B126" s="3">
        <v>32.8125</v>
      </c>
    </row>
    <row r="127" spans="1:2" x14ac:dyDescent="0.25">
      <c r="A127" s="2">
        <v>45849</v>
      </c>
      <c r="B127" s="3">
        <v>31.125</v>
      </c>
    </row>
    <row r="128" spans="1:2" x14ac:dyDescent="0.25">
      <c r="A128" s="2">
        <v>45852</v>
      </c>
      <c r="B128" s="3">
        <v>29.1875</v>
      </c>
    </row>
    <row r="129" spans="1:2" x14ac:dyDescent="0.25">
      <c r="A129" s="2">
        <v>45853</v>
      </c>
      <c r="B129" s="3">
        <v>29.5</v>
      </c>
    </row>
    <row r="130" spans="1:2" x14ac:dyDescent="0.25">
      <c r="A130" s="2">
        <v>45854</v>
      </c>
      <c r="B130" s="3">
        <v>31.25</v>
      </c>
    </row>
    <row r="131" spans="1:2" x14ac:dyDescent="0.25">
      <c r="A131" s="2">
        <v>45855</v>
      </c>
      <c r="B131" s="3">
        <v>32.375</v>
      </c>
    </row>
    <row r="132" spans="1:2" x14ac:dyDescent="0.25">
      <c r="A132" s="2">
        <v>45856</v>
      </c>
      <c r="B132" s="3">
        <v>33.3125</v>
      </c>
    </row>
    <row r="133" spans="1:2" x14ac:dyDescent="0.25">
      <c r="A133" s="2">
        <v>45859</v>
      </c>
      <c r="B133" s="3">
        <v>34.1875</v>
      </c>
    </row>
    <row r="134" spans="1:2" x14ac:dyDescent="0.25">
      <c r="A134" s="2">
        <v>45860</v>
      </c>
      <c r="B134" s="3">
        <v>37.875</v>
      </c>
    </row>
    <row r="135" spans="1:2" x14ac:dyDescent="0.25">
      <c r="A135" s="2">
        <v>45861</v>
      </c>
      <c r="B135" s="3">
        <v>36.875</v>
      </c>
    </row>
    <row r="136" spans="1:2" x14ac:dyDescent="0.25">
      <c r="A136" s="2">
        <v>45862</v>
      </c>
      <c r="B136" s="3">
        <v>37</v>
      </c>
    </row>
    <row r="137" spans="1:2" x14ac:dyDescent="0.25">
      <c r="A137" s="2">
        <v>45863</v>
      </c>
      <c r="B137" s="3">
        <v>35.625</v>
      </c>
    </row>
    <row r="138" spans="1:2" x14ac:dyDescent="0.25">
      <c r="A138" s="2">
        <v>45866</v>
      </c>
      <c r="B138" s="3">
        <v>35.25</v>
      </c>
    </row>
    <row r="139" spans="1:2" x14ac:dyDescent="0.25">
      <c r="A139" s="2">
        <v>45867</v>
      </c>
      <c r="B139" s="3">
        <v>38</v>
      </c>
    </row>
    <row r="140" spans="1:2" x14ac:dyDescent="0.25">
      <c r="A140" s="2">
        <v>45868</v>
      </c>
      <c r="B140" s="3">
        <v>39.125</v>
      </c>
    </row>
    <row r="141" spans="1:2" x14ac:dyDescent="0.25">
      <c r="A141" s="2">
        <v>45869</v>
      </c>
      <c r="B141" s="3">
        <v>40.25</v>
      </c>
    </row>
    <row r="142" spans="1:2" x14ac:dyDescent="0.25">
      <c r="A142" s="2">
        <v>45870</v>
      </c>
      <c r="B142" s="3">
        <v>41.75</v>
      </c>
    </row>
    <row r="143" spans="1:2" x14ac:dyDescent="0.25">
      <c r="A143" s="2">
        <v>45873</v>
      </c>
      <c r="B143" s="3">
        <v>42.1875</v>
      </c>
    </row>
    <row r="144" spans="1:2" x14ac:dyDescent="0.25">
      <c r="A144" s="2">
        <v>45874</v>
      </c>
      <c r="B144" s="3">
        <v>42.625</v>
      </c>
    </row>
    <row r="145" spans="1:2" x14ac:dyDescent="0.25">
      <c r="A145" s="2">
        <v>45875</v>
      </c>
      <c r="B145" s="3">
        <v>41.75</v>
      </c>
    </row>
    <row r="146" spans="1:2" x14ac:dyDescent="0.25">
      <c r="A146" s="2">
        <v>45876</v>
      </c>
      <c r="B146" s="3">
        <v>43.75</v>
      </c>
    </row>
    <row r="147" spans="1:2" x14ac:dyDescent="0.25">
      <c r="A147" s="2">
        <v>45877</v>
      </c>
      <c r="B147" s="3">
        <v>45.375</v>
      </c>
    </row>
    <row r="148" spans="1:2" x14ac:dyDescent="0.25">
      <c r="A148" s="2">
        <v>45880</v>
      </c>
      <c r="B148" s="3">
        <v>47.75</v>
      </c>
    </row>
    <row r="149" spans="1:2" x14ac:dyDescent="0.25">
      <c r="A149" s="2">
        <v>45881</v>
      </c>
      <c r="B149" s="3">
        <v>49.75</v>
      </c>
    </row>
    <row r="150" spans="1:2" x14ac:dyDescent="0.25">
      <c r="A150" s="2">
        <v>45882</v>
      </c>
      <c r="B150" s="3">
        <v>49.9375</v>
      </c>
    </row>
    <row r="151" spans="1:2" x14ac:dyDescent="0.25">
      <c r="A151" s="2">
        <v>45883</v>
      </c>
      <c r="B151" s="3">
        <v>52.5625</v>
      </c>
    </row>
    <row r="152" spans="1:2" x14ac:dyDescent="0.25">
      <c r="A152" s="2">
        <v>45887</v>
      </c>
      <c r="B152" s="3">
        <v>56.5625</v>
      </c>
    </row>
    <row r="153" spans="1:2" x14ac:dyDescent="0.25">
      <c r="A153" s="2">
        <v>45888</v>
      </c>
      <c r="B153" s="3">
        <v>58.3125</v>
      </c>
    </row>
    <row r="154" spans="1:2" x14ac:dyDescent="0.25">
      <c r="A154" s="2">
        <v>45889</v>
      </c>
      <c r="B154" s="3">
        <v>58.8125</v>
      </c>
    </row>
    <row r="155" spans="1:2" x14ac:dyDescent="0.25">
      <c r="A155" s="2">
        <v>45890</v>
      </c>
      <c r="B155" s="3">
        <v>59.25</v>
      </c>
    </row>
    <row r="156" spans="1:2" x14ac:dyDescent="0.25">
      <c r="A156" s="2">
        <v>45891</v>
      </c>
      <c r="B156" s="3">
        <v>59.8125</v>
      </c>
    </row>
    <row r="157" spans="1:2" x14ac:dyDescent="0.25">
      <c r="A157" s="2">
        <v>45894</v>
      </c>
      <c r="B157" s="3">
        <v>60.25</v>
      </c>
    </row>
    <row r="158" spans="1:2" x14ac:dyDescent="0.25">
      <c r="A158" s="2">
        <v>45895</v>
      </c>
      <c r="B158" s="3">
        <v>64.125</v>
      </c>
    </row>
    <row r="159" spans="1:2" x14ac:dyDescent="0.25">
      <c r="A159" s="2">
        <v>45896</v>
      </c>
      <c r="B159" s="3">
        <v>61.1875</v>
      </c>
    </row>
    <row r="160" spans="1:2" x14ac:dyDescent="0.25">
      <c r="A160" s="2">
        <v>45897</v>
      </c>
      <c r="B160" s="3">
        <v>66.125</v>
      </c>
    </row>
    <row r="161" spans="1:2" x14ac:dyDescent="0.25">
      <c r="A161" s="2">
        <v>45898</v>
      </c>
      <c r="B161" s="3">
        <v>66.1875</v>
      </c>
    </row>
    <row r="162" spans="1:2" x14ac:dyDescent="0.25">
      <c r="A162" s="2">
        <v>45901</v>
      </c>
      <c r="B162" s="3">
        <v>67</v>
      </c>
    </row>
    <row r="163" spans="1:2" x14ac:dyDescent="0.25">
      <c r="A163" s="2">
        <v>45902</v>
      </c>
      <c r="B163" s="3">
        <v>58.4375</v>
      </c>
    </row>
    <row r="164" spans="1:2" x14ac:dyDescent="0.25">
      <c r="A164" s="2">
        <v>45903</v>
      </c>
      <c r="B164" s="3">
        <v>66</v>
      </c>
    </row>
    <row r="165" spans="1:2" x14ac:dyDescent="0.25">
      <c r="A165" s="2">
        <v>45904</v>
      </c>
      <c r="B165" s="3">
        <v>65.9375</v>
      </c>
    </row>
    <row r="166" spans="1:2" x14ac:dyDescent="0.25">
      <c r="A166" s="2">
        <v>45905</v>
      </c>
      <c r="B166" s="3">
        <v>64.0625</v>
      </c>
    </row>
    <row r="167" spans="1:2" x14ac:dyDescent="0.25">
      <c r="A167" s="2">
        <v>45908</v>
      </c>
      <c r="B167" s="3">
        <v>63.5</v>
      </c>
    </row>
    <row r="168" spans="1:2" x14ac:dyDescent="0.25">
      <c r="A168" s="2">
        <v>45909</v>
      </c>
      <c r="B168" s="3">
        <v>64.9375</v>
      </c>
    </row>
    <row r="169" spans="1:2" x14ac:dyDescent="0.25">
      <c r="A169" s="2">
        <v>45910</v>
      </c>
      <c r="B169" s="3">
        <v>59</v>
      </c>
    </row>
    <row r="170" spans="1:2" x14ac:dyDescent="0.25">
      <c r="A170" s="2">
        <v>45911</v>
      </c>
      <c r="B170" s="3">
        <v>52.5</v>
      </c>
    </row>
    <row r="171" spans="1:2" x14ac:dyDescent="0.25">
      <c r="A171" s="2">
        <v>45912</v>
      </c>
      <c r="B171" s="3">
        <v>47.6875</v>
      </c>
    </row>
    <row r="172" spans="1:2" x14ac:dyDescent="0.25">
      <c r="A172" s="2">
        <v>45915</v>
      </c>
      <c r="B172" s="3">
        <v>45.9375</v>
      </c>
    </row>
    <row r="173" spans="1:2" x14ac:dyDescent="0.25">
      <c r="A173" s="2">
        <v>45916</v>
      </c>
      <c r="B173" s="3">
        <v>43.6875</v>
      </c>
    </row>
    <row r="174" spans="1:2" x14ac:dyDescent="0.25">
      <c r="A174" s="2">
        <v>45917</v>
      </c>
      <c r="B174" s="3">
        <v>45.125</v>
      </c>
    </row>
    <row r="175" spans="1:2" x14ac:dyDescent="0.25">
      <c r="A175" s="2">
        <v>45918</v>
      </c>
      <c r="B175" s="3">
        <v>46.375</v>
      </c>
    </row>
    <row r="176" spans="1:2" x14ac:dyDescent="0.25">
      <c r="A176" s="2">
        <v>45919</v>
      </c>
      <c r="B176" s="3">
        <v>47.5625</v>
      </c>
    </row>
    <row r="177" spans="1:2" x14ac:dyDescent="0.25">
      <c r="A177" s="2">
        <v>45922</v>
      </c>
      <c r="B177" s="3">
        <v>48.1875</v>
      </c>
    </row>
    <row r="178" spans="1:2" x14ac:dyDescent="0.25">
      <c r="A178" s="2">
        <v>45923</v>
      </c>
      <c r="B178" s="3">
        <v>48.8125</v>
      </c>
    </row>
    <row r="179" spans="1:2" x14ac:dyDescent="0.25">
      <c r="A179" s="2">
        <v>45924</v>
      </c>
      <c r="B179" s="3">
        <v>44.1875</v>
      </c>
    </row>
    <row r="180" spans="1:2" x14ac:dyDescent="0.25">
      <c r="A180" s="2">
        <v>45925</v>
      </c>
      <c r="B180" s="3">
        <v>41.625</v>
      </c>
    </row>
    <row r="181" spans="1:2" x14ac:dyDescent="0.25">
      <c r="A181" s="2">
        <v>45926</v>
      </c>
      <c r="B181" s="3">
        <v>41</v>
      </c>
    </row>
    <row r="182" spans="1:2" x14ac:dyDescent="0.25">
      <c r="A182" s="2">
        <v>45929</v>
      </c>
      <c r="B182" s="3">
        <v>41.5</v>
      </c>
    </row>
    <row r="183" spans="1:2" x14ac:dyDescent="0.25">
      <c r="A183" s="2">
        <v>45930</v>
      </c>
      <c r="B183" s="3">
        <v>42.375</v>
      </c>
    </row>
    <row r="184" spans="1:2" x14ac:dyDescent="0.25">
      <c r="A184" s="2">
        <v>45931</v>
      </c>
      <c r="B184" s="3">
        <v>42.875</v>
      </c>
    </row>
    <row r="185" spans="1:2" x14ac:dyDescent="0.25">
      <c r="A185" s="2">
        <v>45932</v>
      </c>
      <c r="B185" s="3">
        <v>42</v>
      </c>
    </row>
    <row r="186" spans="1:2" x14ac:dyDescent="0.25">
      <c r="A186" s="2">
        <v>45933</v>
      </c>
      <c r="B186" s="3">
        <v>44.125</v>
      </c>
    </row>
    <row r="187" spans="1:2" x14ac:dyDescent="0.25">
      <c r="A187" s="2">
        <v>45936</v>
      </c>
      <c r="B187" s="3">
        <v>44.75</v>
      </c>
    </row>
    <row r="188" spans="1:2" x14ac:dyDescent="0.25">
      <c r="A188" s="2">
        <v>45937</v>
      </c>
      <c r="B188" s="3">
        <v>47.125</v>
      </c>
    </row>
    <row r="189" spans="1:2" x14ac:dyDescent="0.25">
      <c r="A189" s="2">
        <v>45938</v>
      </c>
      <c r="B189" s="3">
        <v>50.1875</v>
      </c>
    </row>
    <row r="190" spans="1:2" x14ac:dyDescent="0.25">
      <c r="A190" s="2">
        <v>45939</v>
      </c>
      <c r="B190" s="3">
        <v>54.375</v>
      </c>
    </row>
    <row r="191" spans="1:2" x14ac:dyDescent="0.25">
      <c r="A191" s="2">
        <v>45940</v>
      </c>
      <c r="B191" s="3">
        <v>54.375</v>
      </c>
    </row>
    <row r="192" spans="1:2" x14ac:dyDescent="0.25">
      <c r="A192" s="2">
        <v>45943</v>
      </c>
      <c r="B192" s="3">
        <v>53.75</v>
      </c>
    </row>
    <row r="193" spans="1:2" x14ac:dyDescent="0.25">
      <c r="A193" s="2">
        <v>45944</v>
      </c>
      <c r="B193" s="3">
        <v>59.125</v>
      </c>
    </row>
    <row r="194" spans="1:2" x14ac:dyDescent="0.25">
      <c r="A194" s="2">
        <v>45945</v>
      </c>
      <c r="B194" s="3">
        <v>66</v>
      </c>
    </row>
    <row r="195" spans="1:2" x14ac:dyDescent="0.25">
      <c r="A195" s="2">
        <v>45946</v>
      </c>
      <c r="B195" s="3">
        <v>60.125</v>
      </c>
    </row>
    <row r="196" spans="1:2" x14ac:dyDescent="0.25">
      <c r="A196" s="2">
        <v>45947</v>
      </c>
      <c r="B196" s="3">
        <v>57.9375</v>
      </c>
    </row>
    <row r="197" spans="1:2" x14ac:dyDescent="0.25">
      <c r="A197" s="2">
        <v>45950</v>
      </c>
      <c r="B197" s="3">
        <v>53.0625</v>
      </c>
    </row>
    <row r="198" spans="1:2" x14ac:dyDescent="0.25">
      <c r="A198" s="2">
        <v>45951</v>
      </c>
      <c r="B198" s="3">
        <v>52.8125</v>
      </c>
    </row>
    <row r="199" spans="1:2" x14ac:dyDescent="0.25">
      <c r="A199" s="2">
        <v>45952</v>
      </c>
      <c r="B199" s="3">
        <v>53.6875</v>
      </c>
    </row>
    <row r="200" spans="1:2" x14ac:dyDescent="0.25">
      <c r="A200" s="2">
        <v>45953</v>
      </c>
      <c r="B200" s="3">
        <v>54.875</v>
      </c>
    </row>
    <row r="201" spans="1:2" x14ac:dyDescent="0.25">
      <c r="A201" s="2">
        <v>45954</v>
      </c>
      <c r="B201" s="3">
        <v>58.5</v>
      </c>
    </row>
    <row r="202" spans="1:2" x14ac:dyDescent="0.25">
      <c r="A202" s="2">
        <v>45957</v>
      </c>
      <c r="B202" s="3">
        <v>45.9375</v>
      </c>
    </row>
    <row r="203" spans="1:2" x14ac:dyDescent="0.25">
      <c r="A203" s="2">
        <v>45958</v>
      </c>
      <c r="B203" s="3">
        <v>49.1875</v>
      </c>
    </row>
    <row r="204" spans="1:2" x14ac:dyDescent="0.25">
      <c r="A204" s="2">
        <v>45959</v>
      </c>
      <c r="B204" s="3">
        <v>44.625</v>
      </c>
    </row>
    <row r="205" spans="1:2" x14ac:dyDescent="0.25">
      <c r="A205" s="2">
        <v>45960</v>
      </c>
      <c r="B205" s="3">
        <v>43.375</v>
      </c>
    </row>
    <row r="206" spans="1:2" x14ac:dyDescent="0.25">
      <c r="A206" s="2">
        <v>45961</v>
      </c>
      <c r="B206" s="3">
        <v>38.3125</v>
      </c>
    </row>
    <row r="207" spans="1:2" x14ac:dyDescent="0.25">
      <c r="A207" s="2">
        <v>45964</v>
      </c>
      <c r="B207" s="3">
        <v>36.75</v>
      </c>
    </row>
    <row r="208" spans="1:2" x14ac:dyDescent="0.25">
      <c r="A208" s="2">
        <v>45965</v>
      </c>
      <c r="B208" s="3">
        <v>37.5625</v>
      </c>
    </row>
    <row r="209" spans="1:2" x14ac:dyDescent="0.25">
      <c r="A209" s="2">
        <v>45966</v>
      </c>
      <c r="B209" s="3">
        <v>36.3125</v>
      </c>
    </row>
    <row r="210" spans="1:2" x14ac:dyDescent="0.25">
      <c r="A210" s="2">
        <v>45968</v>
      </c>
      <c r="B210" s="3">
        <v>34.8125</v>
      </c>
    </row>
    <row r="211" spans="1:2" x14ac:dyDescent="0.25">
      <c r="A211" s="2">
        <v>45971</v>
      </c>
      <c r="B211" s="3">
        <v>34.75</v>
      </c>
    </row>
    <row r="212" spans="1:2" x14ac:dyDescent="0.25">
      <c r="A212" s="2">
        <v>45972</v>
      </c>
      <c r="B212" s="3">
        <v>35</v>
      </c>
    </row>
    <row r="213" spans="1:2" x14ac:dyDescent="0.25">
      <c r="A213" s="2">
        <v>45973</v>
      </c>
      <c r="B213" s="3">
        <v>34.625</v>
      </c>
    </row>
    <row r="214" spans="1:2" x14ac:dyDescent="0.25">
      <c r="A214" s="2">
        <v>45974</v>
      </c>
      <c r="B214" s="3">
        <v>33.9375</v>
      </c>
    </row>
    <row r="215" spans="1:2" x14ac:dyDescent="0.25">
      <c r="A215" s="2">
        <v>45975</v>
      </c>
      <c r="B215" s="3">
        <v>33.4375</v>
      </c>
    </row>
    <row r="216" spans="1:2" x14ac:dyDescent="0.25">
      <c r="A216" s="2">
        <v>45978</v>
      </c>
      <c r="B216" s="3">
        <v>33</v>
      </c>
    </row>
    <row r="217" spans="1:2" x14ac:dyDescent="0.25">
      <c r="A217" s="2">
        <v>45979</v>
      </c>
      <c r="B217" s="3">
        <v>33.5</v>
      </c>
    </row>
    <row r="218" spans="1:2" x14ac:dyDescent="0.25">
      <c r="A218" s="2">
        <v>45980</v>
      </c>
      <c r="B218" s="3">
        <v>33.8125</v>
      </c>
    </row>
    <row r="219" spans="1:2" x14ac:dyDescent="0.25">
      <c r="A219" s="2">
        <v>45981</v>
      </c>
      <c r="B219" s="3">
        <v>31.6875</v>
      </c>
    </row>
    <row r="220" spans="1:2" x14ac:dyDescent="0.25">
      <c r="A220" s="2">
        <v>45986</v>
      </c>
      <c r="B220" s="3">
        <v>32.0625</v>
      </c>
    </row>
    <row r="221" spans="1:2" x14ac:dyDescent="0.25">
      <c r="A221" s="2">
        <v>45987</v>
      </c>
      <c r="B221" s="3">
        <v>31.6875</v>
      </c>
    </row>
    <row r="222" spans="1:2" x14ac:dyDescent="0.25">
      <c r="A222" s="2">
        <v>45988</v>
      </c>
      <c r="B222" s="3">
        <v>31.75</v>
      </c>
    </row>
    <row r="223" spans="1:2" x14ac:dyDescent="0.25">
      <c r="A223" s="2">
        <v>45989</v>
      </c>
      <c r="B223" s="3">
        <v>31.4375</v>
      </c>
    </row>
    <row r="224" spans="1:2" x14ac:dyDescent="0.25">
      <c r="A224" s="2">
        <v>45992</v>
      </c>
      <c r="B224" s="3">
        <v>30.9375</v>
      </c>
    </row>
    <row r="225" spans="1:2" x14ac:dyDescent="0.25">
      <c r="A225" s="2">
        <v>45993</v>
      </c>
      <c r="B225" s="3">
        <v>29.6875</v>
      </c>
    </row>
    <row r="226" spans="1:2" x14ac:dyDescent="0.25">
      <c r="A226" s="2">
        <v>45994</v>
      </c>
      <c r="B226" s="3">
        <v>27.8125</v>
      </c>
    </row>
    <row r="227" spans="1:2" x14ac:dyDescent="0.25">
      <c r="A227" s="2">
        <v>45995</v>
      </c>
      <c r="B227" s="3">
        <v>26.625</v>
      </c>
    </row>
    <row r="228" spans="1:2" x14ac:dyDescent="0.25">
      <c r="A228" s="2">
        <v>45996</v>
      </c>
      <c r="B228" s="3">
        <v>26.8125</v>
      </c>
    </row>
    <row r="229" spans="1:2" x14ac:dyDescent="0.25">
      <c r="A229" s="2">
        <v>46000</v>
      </c>
      <c r="B229" s="3">
        <v>26.4375</v>
      </c>
    </row>
    <row r="230" spans="1:2" x14ac:dyDescent="0.25">
      <c r="A230" s="2">
        <v>46001</v>
      </c>
      <c r="B230" s="3">
        <v>26.6875</v>
      </c>
    </row>
    <row r="231" spans="1:2" x14ac:dyDescent="0.25">
      <c r="A231" s="2">
        <v>46002</v>
      </c>
      <c r="B231" s="3">
        <v>26.75</v>
      </c>
    </row>
    <row r="232" spans="1:2" x14ac:dyDescent="0.25">
      <c r="A232" s="2">
        <v>46003</v>
      </c>
      <c r="B232" s="3">
        <v>26.75</v>
      </c>
    </row>
    <row r="233" spans="1:2" x14ac:dyDescent="0.25">
      <c r="A233" s="2">
        <v>46006</v>
      </c>
      <c r="B233" s="3">
        <v>26.75</v>
      </c>
    </row>
    <row r="234" spans="1:2" x14ac:dyDescent="0.25">
      <c r="A234" s="2">
        <v>46007</v>
      </c>
      <c r="B234" s="3">
        <v>27.125</v>
      </c>
    </row>
    <row r="235" spans="1:2" x14ac:dyDescent="0.25">
      <c r="A235" s="2">
        <v>46008</v>
      </c>
      <c r="B235" s="3">
        <v>27.375</v>
      </c>
    </row>
    <row r="236" spans="1:2" x14ac:dyDescent="0.25">
      <c r="A236" s="2">
        <v>46009</v>
      </c>
      <c r="B236" s="3">
        <v>27.3125</v>
      </c>
    </row>
    <row r="237" spans="1:2" x14ac:dyDescent="0.25">
      <c r="A237" s="2">
        <v>46010</v>
      </c>
      <c r="B237" s="3">
        <v>28.25</v>
      </c>
    </row>
    <row r="238" spans="1:2" x14ac:dyDescent="0.25">
      <c r="A238" s="2">
        <v>46013</v>
      </c>
      <c r="B238" s="3">
        <v>28.375</v>
      </c>
    </row>
    <row r="239" spans="1:2" x14ac:dyDescent="0.25">
      <c r="A239" s="2">
        <v>46014</v>
      </c>
      <c r="B239" s="3">
        <v>29.4375</v>
      </c>
    </row>
    <row r="240" spans="1:2" x14ac:dyDescent="0.25">
      <c r="A240" s="2">
        <v>46017</v>
      </c>
      <c r="B240" s="3">
        <v>28.6875</v>
      </c>
    </row>
    <row r="241" spans="1:3" x14ac:dyDescent="0.25">
      <c r="A241" s="2">
        <v>46020</v>
      </c>
      <c r="B241" s="3">
        <v>27.9375</v>
      </c>
    </row>
    <row r="242" spans="1:3" x14ac:dyDescent="0.25">
      <c r="A242" s="2">
        <v>46021</v>
      </c>
      <c r="B242" s="3">
        <v>28.875</v>
      </c>
    </row>
    <row r="243" spans="1:3" x14ac:dyDescent="0.25">
      <c r="A243" s="2">
        <v>46024</v>
      </c>
      <c r="B243" s="3">
        <v>29.375</v>
      </c>
    </row>
    <row r="244" spans="1:3" x14ac:dyDescent="0.25">
      <c r="A244" s="2">
        <v>46027</v>
      </c>
      <c r="B244" s="3">
        <v>28.75</v>
      </c>
    </row>
    <row r="245" spans="1:3" x14ac:dyDescent="0.25">
      <c r="A245" s="2">
        <v>46028</v>
      </c>
      <c r="B245" s="3">
        <v>29.375</v>
      </c>
    </row>
    <row r="246" spans="1:3" x14ac:dyDescent="0.25">
      <c r="A246" s="2">
        <v>46029</v>
      </c>
      <c r="B246" s="3">
        <v>31.75</v>
      </c>
    </row>
    <row r="247" spans="1:3" x14ac:dyDescent="0.25">
      <c r="A247" s="2">
        <v>46030</v>
      </c>
      <c r="B247" s="3">
        <v>33.125</v>
      </c>
    </row>
    <row r="248" spans="1:3" x14ac:dyDescent="0.25">
      <c r="A248" s="2">
        <v>46031</v>
      </c>
      <c r="B248" s="3">
        <v>32.625</v>
      </c>
    </row>
    <row r="249" spans="1:3" x14ac:dyDescent="0.25">
      <c r="A249" s="2">
        <v>46034</v>
      </c>
      <c r="B249" s="3">
        <v>32.4375</v>
      </c>
    </row>
    <row r="250" spans="1:3" x14ac:dyDescent="0.25">
      <c r="A250" s="2">
        <v>46035</v>
      </c>
      <c r="B250" s="3">
        <v>34.4375</v>
      </c>
    </row>
    <row r="251" spans="1:3" x14ac:dyDescent="0.25">
      <c r="A251" s="2">
        <v>46036</v>
      </c>
      <c r="B251" s="3">
        <v>34.9375</v>
      </c>
    </row>
    <row r="252" spans="1:3" x14ac:dyDescent="0.25">
      <c r="A252" s="2">
        <v>46037</v>
      </c>
      <c r="B252" s="3">
        <v>35.6875</v>
      </c>
    </row>
    <row r="253" spans="1:3" x14ac:dyDescent="0.25">
      <c r="A253" s="2">
        <v>46038</v>
      </c>
      <c r="B253" s="3">
        <v>35.5625</v>
      </c>
    </row>
    <row r="254" spans="1:3" x14ac:dyDescent="0.25">
      <c r="A254" s="2">
        <v>46041</v>
      </c>
      <c r="B254" s="3">
        <v>36.6875</v>
      </c>
    </row>
    <row r="255" spans="1:3" x14ac:dyDescent="0.25">
      <c r="A255" s="2">
        <v>46042</v>
      </c>
      <c r="B255" s="3">
        <v>36.6875</v>
      </c>
    </row>
    <row r="256" spans="1:3" x14ac:dyDescent="0.25">
      <c r="A256" s="2">
        <v>46043</v>
      </c>
      <c r="B256" s="3">
        <v>36.9375</v>
      </c>
      <c r="C256" t="s">
        <v>5</v>
      </c>
    </row>
    <row r="257" spans="1:3" x14ac:dyDescent="0.25">
      <c r="A257" s="2">
        <v>46044</v>
      </c>
      <c r="B257" s="3">
        <v>38.0625</v>
      </c>
    </row>
    <row r="258" spans="1:3" x14ac:dyDescent="0.25">
      <c r="A258" s="2">
        <v>46045</v>
      </c>
      <c r="B258" s="3">
        <v>37.8125</v>
      </c>
    </row>
    <row r="259" spans="1:3" x14ac:dyDescent="0.25">
      <c r="A259" s="2">
        <v>46048</v>
      </c>
      <c r="B259" s="3">
        <v>35.625</v>
      </c>
    </row>
    <row r="260" spans="1:3" x14ac:dyDescent="0.25">
      <c r="A260" s="2">
        <v>46049</v>
      </c>
      <c r="B260" s="3">
        <v>34.5</v>
      </c>
    </row>
    <row r="261" spans="1:3" x14ac:dyDescent="0.25">
      <c r="A261" s="2">
        <v>46050</v>
      </c>
      <c r="B261" s="3">
        <v>32.625</v>
      </c>
    </row>
    <row r="262" spans="1:3" x14ac:dyDescent="0.25">
      <c r="A262" s="2">
        <v>46051</v>
      </c>
      <c r="B262" s="3">
        <v>31.75</v>
      </c>
    </row>
    <row r="263" spans="1:3" x14ac:dyDescent="0.25">
      <c r="A263" s="2">
        <v>46052</v>
      </c>
      <c r="B263" s="3">
        <v>32.9375</v>
      </c>
      <c r="C263" t="s">
        <v>5</v>
      </c>
    </row>
    <row r="264" spans="1:3" x14ac:dyDescent="0.25">
      <c r="A264" s="2">
        <v>46055</v>
      </c>
      <c r="B264" s="3">
        <v>32.6875</v>
      </c>
    </row>
    <row r="265" spans="1:3" x14ac:dyDescent="0.25">
      <c r="A265" s="2">
        <v>46056</v>
      </c>
      <c r="B265" s="3">
        <v>34</v>
      </c>
    </row>
    <row r="266" spans="1:3" x14ac:dyDescent="0.25">
      <c r="A266" s="2">
        <v>46057</v>
      </c>
      <c r="B266" s="3">
        <v>32.5625</v>
      </c>
    </row>
    <row r="267" spans="1:3" x14ac:dyDescent="0.25">
      <c r="A267" s="2">
        <v>46058</v>
      </c>
      <c r="B267" s="3">
        <v>32.1875</v>
      </c>
    </row>
    <row r="268" spans="1:3" x14ac:dyDescent="0.25">
      <c r="A268" s="2">
        <v>46059</v>
      </c>
      <c r="B268" s="3">
        <v>31.8125</v>
      </c>
    </row>
    <row r="269" spans="1:3" x14ac:dyDescent="0.25">
      <c r="A269" s="2">
        <v>46062</v>
      </c>
      <c r="B269" s="3">
        <v>31.1875</v>
      </c>
    </row>
    <row r="270" spans="1:3" x14ac:dyDescent="0.25">
      <c r="A270" s="2">
        <v>46063</v>
      </c>
      <c r="B270" s="3">
        <v>31.375</v>
      </c>
    </row>
    <row r="271" spans="1:3" x14ac:dyDescent="0.25">
      <c r="A271" s="2">
        <v>46064</v>
      </c>
      <c r="B271" s="3">
        <v>31.5625</v>
      </c>
    </row>
    <row r="272" spans="1:3" x14ac:dyDescent="0.25">
      <c r="A272" s="2">
        <v>46065</v>
      </c>
      <c r="B272" s="3">
        <v>32.375</v>
      </c>
    </row>
    <row r="273" spans="1:2" x14ac:dyDescent="0.25">
      <c r="A273" s="2">
        <v>46066</v>
      </c>
      <c r="B273" s="3">
        <v>33.4375</v>
      </c>
    </row>
    <row r="274" spans="1:2" x14ac:dyDescent="0.25">
      <c r="A274" s="2">
        <v>46071</v>
      </c>
      <c r="B274" s="3">
        <v>33.6875</v>
      </c>
    </row>
    <row r="275" spans="1:2" x14ac:dyDescent="0.25">
      <c r="A275" s="2">
        <v>46072</v>
      </c>
      <c r="B275" s="3">
        <v>34.625</v>
      </c>
    </row>
    <row r="276" spans="1:2" x14ac:dyDescent="0.25">
      <c r="A276" s="2">
        <v>46073</v>
      </c>
      <c r="B276" s="3">
        <v>34.875</v>
      </c>
    </row>
    <row r="277" spans="1:2" x14ac:dyDescent="0.25">
      <c r="A277" s="2">
        <v>46076</v>
      </c>
      <c r="B277" s="3">
        <v>36.5</v>
      </c>
    </row>
    <row r="278" spans="1:2" x14ac:dyDescent="0.25">
      <c r="A278" s="2">
        <v>46077</v>
      </c>
      <c r="B278" s="3">
        <v>35.625</v>
      </c>
    </row>
    <row r="279" spans="1:2" x14ac:dyDescent="0.25">
      <c r="A279" s="2">
        <v>46078</v>
      </c>
      <c r="B279" s="3">
        <v>33.25</v>
      </c>
    </row>
    <row r="280" spans="1:2" x14ac:dyDescent="0.25">
      <c r="A280" s="2">
        <v>46079</v>
      </c>
      <c r="B280" s="3">
        <v>31.25</v>
      </c>
    </row>
    <row r="281" spans="1:2" x14ac:dyDescent="0.25">
      <c r="A281" s="2">
        <v>46080</v>
      </c>
      <c r="B281" s="3">
        <v>31.0625</v>
      </c>
    </row>
    <row r="282" spans="1:2" x14ac:dyDescent="0.25">
      <c r="A282" s="2">
        <v>46083</v>
      </c>
      <c r="B282" s="3">
        <v>30.75</v>
      </c>
    </row>
    <row r="283" spans="1:2" x14ac:dyDescent="0.25">
      <c r="A283" s="2">
        <v>46084</v>
      </c>
      <c r="B283" s="3">
        <v>31</v>
      </c>
    </row>
    <row r="284" spans="1:2" x14ac:dyDescent="0.25">
      <c r="A284" s="2">
        <v>46085</v>
      </c>
      <c r="B284" s="3">
        <v>31</v>
      </c>
    </row>
    <row r="285" spans="1:2" x14ac:dyDescent="0.25">
      <c r="A285" s="2">
        <v>46086</v>
      </c>
      <c r="B285" s="3">
        <v>31.25</v>
      </c>
    </row>
    <row r="286" spans="1:2" x14ac:dyDescent="0.25">
      <c r="A286" s="2">
        <v>46087</v>
      </c>
      <c r="B286" s="3">
        <v>30.875</v>
      </c>
    </row>
    <row r="287" spans="1:2" x14ac:dyDescent="0.25">
      <c r="A287" s="2">
        <v>46090</v>
      </c>
      <c r="B287" s="3">
        <v>30.875</v>
      </c>
    </row>
    <row r="288" spans="1:2" x14ac:dyDescent="0.25">
      <c r="A288" s="2">
        <v>46091</v>
      </c>
      <c r="B288" s="3">
        <v>31.0625</v>
      </c>
    </row>
    <row r="289" spans="1:2" x14ac:dyDescent="0.25">
      <c r="A289" s="2">
        <v>46092</v>
      </c>
      <c r="B289" s="3">
        <v>31</v>
      </c>
    </row>
    <row r="290" spans="1:2" x14ac:dyDescent="0.25">
      <c r="A290" s="2">
        <v>46093</v>
      </c>
      <c r="B290" s="3">
        <v>31</v>
      </c>
    </row>
    <row r="291" spans="1:2" x14ac:dyDescent="0.25">
      <c r="A291" s="2">
        <v>46094</v>
      </c>
      <c r="B291" s="3">
        <v>31.0625</v>
      </c>
    </row>
    <row r="292" spans="1:2" x14ac:dyDescent="0.25">
      <c r="A292" s="2">
        <v>46097</v>
      </c>
      <c r="B292" s="3">
        <v>30.625</v>
      </c>
    </row>
    <row r="293" spans="1:2" x14ac:dyDescent="0.25">
      <c r="A293" s="2">
        <v>46098</v>
      </c>
      <c r="B293" s="3">
        <v>28.8125</v>
      </c>
    </row>
    <row r="294" spans="1:2" x14ac:dyDescent="0.25">
      <c r="A294" s="2">
        <v>46099</v>
      </c>
      <c r="B294" s="3">
        <v>27.1875</v>
      </c>
    </row>
    <row r="295" spans="1:2" x14ac:dyDescent="0.25">
      <c r="A295" s="2">
        <v>46100</v>
      </c>
      <c r="B295" s="3">
        <v>26.5625</v>
      </c>
    </row>
    <row r="296" spans="1:2" x14ac:dyDescent="0.25">
      <c r="A296" s="2">
        <v>46101</v>
      </c>
      <c r="B296" s="3">
        <v>26.75</v>
      </c>
    </row>
    <row r="297" spans="1:2" x14ac:dyDescent="0.25">
      <c r="A297" s="2">
        <v>46106</v>
      </c>
      <c r="B297" s="3">
        <v>26.4375</v>
      </c>
    </row>
    <row r="298" spans="1:2" x14ac:dyDescent="0.25">
      <c r="A298" s="2">
        <v>46107</v>
      </c>
      <c r="B298" s="3">
        <v>26.3125</v>
      </c>
    </row>
    <row r="299" spans="1:2" x14ac:dyDescent="0.25">
      <c r="A299" s="2">
        <v>46108</v>
      </c>
      <c r="B299" s="3">
        <v>26.125</v>
      </c>
    </row>
    <row r="300" spans="1:2" x14ac:dyDescent="0.25">
      <c r="A300" s="2">
        <v>46111</v>
      </c>
      <c r="B300" s="3">
        <v>26.1875</v>
      </c>
    </row>
    <row r="301" spans="1:2" x14ac:dyDescent="0.25">
      <c r="A301" s="2">
        <v>46112</v>
      </c>
      <c r="B301" s="3">
        <v>26.3125</v>
      </c>
    </row>
    <row r="302" spans="1:2" x14ac:dyDescent="0.25">
      <c r="A302" s="2">
        <v>46113</v>
      </c>
      <c r="B302" s="3">
        <v>26.25</v>
      </c>
    </row>
    <row r="303" spans="1:2" x14ac:dyDescent="0.25">
      <c r="A303" s="2">
        <v>46118</v>
      </c>
      <c r="B303" s="3">
        <v>26.125</v>
      </c>
    </row>
    <row r="304" spans="1:2" x14ac:dyDescent="0.25">
      <c r="A304" s="2">
        <v>46119</v>
      </c>
      <c r="B304" s="3">
        <v>26.1875</v>
      </c>
    </row>
    <row r="305" spans="1:2" x14ac:dyDescent="0.25">
      <c r="A305" s="2">
        <v>46120</v>
      </c>
      <c r="B305" s="3">
        <v>25.625</v>
      </c>
    </row>
    <row r="306" spans="1:2" x14ac:dyDescent="0.25">
      <c r="A306" s="2">
        <v>46121</v>
      </c>
      <c r="B306" s="3">
        <v>23.4375</v>
      </c>
    </row>
    <row r="307" spans="1:2" x14ac:dyDescent="0.25">
      <c r="A307" s="2">
        <v>46122</v>
      </c>
      <c r="B307" s="3">
        <v>22.8125</v>
      </c>
    </row>
    <row r="308" spans="1:2" x14ac:dyDescent="0.25">
      <c r="A308" s="2">
        <v>46125</v>
      </c>
      <c r="B308" s="3">
        <v>22.5</v>
      </c>
    </row>
    <row r="309" spans="1:2" x14ac:dyDescent="0.25">
      <c r="A309" s="2">
        <v>46126</v>
      </c>
      <c r="B309" s="3">
        <v>23.0625</v>
      </c>
    </row>
    <row r="310" spans="1:2" x14ac:dyDescent="0.25">
      <c r="A310" s="2">
        <v>46127</v>
      </c>
      <c r="B310" s="3">
        <v>22.875</v>
      </c>
    </row>
    <row r="311" spans="1:2" x14ac:dyDescent="0.25">
      <c r="A311" s="2">
        <v>46128</v>
      </c>
      <c r="B311" s="3">
        <v>23.125</v>
      </c>
    </row>
    <row r="312" spans="1:2" x14ac:dyDescent="0.25">
      <c r="A312" s="2">
        <v>46129</v>
      </c>
      <c r="B312" s="3">
        <v>22.75</v>
      </c>
    </row>
    <row r="313" spans="1:2" x14ac:dyDescent="0.25">
      <c r="A313" s="2">
        <v>46132</v>
      </c>
      <c r="B313" s="3">
        <v>22.3125</v>
      </c>
    </row>
    <row r="314" spans="1:2" x14ac:dyDescent="0.25">
      <c r="A314" s="2">
        <v>46133</v>
      </c>
      <c r="B314" s="3">
        <v>22.4375</v>
      </c>
    </row>
    <row r="315" spans="1:2" x14ac:dyDescent="0.25">
      <c r="A315" s="2">
        <v>46134</v>
      </c>
      <c r="B315" s="3">
        <v>22.5</v>
      </c>
    </row>
    <row r="316" spans="1:2" x14ac:dyDescent="0.25">
      <c r="A316" s="2">
        <v>46135</v>
      </c>
      <c r="B316" s="3">
        <v>22.5625</v>
      </c>
    </row>
    <row r="317" spans="1:2" x14ac:dyDescent="0.25">
      <c r="A317" s="2">
        <v>46136</v>
      </c>
      <c r="B317" s="3">
        <v>22.4375</v>
      </c>
    </row>
    <row r="318" spans="1:2" x14ac:dyDescent="0.25">
      <c r="A318" s="2">
        <v>46139</v>
      </c>
      <c r="B318" s="3">
        <v>22.3125</v>
      </c>
    </row>
    <row r="319" spans="1:2" x14ac:dyDescent="0.25">
      <c r="A319" s="2">
        <v>46140</v>
      </c>
      <c r="B319" s="3">
        <v>22.625</v>
      </c>
    </row>
    <row r="320" spans="1:2" x14ac:dyDescent="0.25">
      <c r="A320" s="2">
        <v>46141</v>
      </c>
      <c r="B320" s="3">
        <v>22.625</v>
      </c>
    </row>
    <row r="321" spans="1:2" x14ac:dyDescent="0.25">
      <c r="A321" s="2">
        <v>46142</v>
      </c>
      <c r="B321" s="3">
        <v>23.125</v>
      </c>
    </row>
    <row r="322" spans="1:2" x14ac:dyDescent="0.25">
      <c r="A322" s="2">
        <v>46146</v>
      </c>
      <c r="B322" s="3">
        <v>23.125</v>
      </c>
    </row>
    <row r="323" spans="1:2" x14ac:dyDescent="0.25">
      <c r="A323" s="2">
        <v>46147</v>
      </c>
      <c r="B323" s="3">
        <v>23.4375</v>
      </c>
    </row>
    <row r="324" spans="1:2" x14ac:dyDescent="0.25">
      <c r="A324" s="2">
        <v>46148</v>
      </c>
      <c r="B324" s="3">
        <v>22.75</v>
      </c>
    </row>
    <row r="325" spans="1:2" x14ac:dyDescent="0.25">
      <c r="A325" s="2">
        <v>46149</v>
      </c>
      <c r="B325" s="3">
        <v>22.8125</v>
      </c>
    </row>
    <row r="326" spans="1:2" x14ac:dyDescent="0.25">
      <c r="A326" s="2">
        <v>46150</v>
      </c>
      <c r="B326" s="3">
        <v>22.5625</v>
      </c>
    </row>
    <row r="327" spans="1:2" x14ac:dyDescent="0.25">
      <c r="A327" s="2">
        <v>46153</v>
      </c>
      <c r="B327" s="3">
        <v>22.75</v>
      </c>
    </row>
    <row r="328" spans="1:2" x14ac:dyDescent="0.25">
      <c r="A328" s="2">
        <v>46154</v>
      </c>
      <c r="B328" s="3">
        <v>22.625</v>
      </c>
    </row>
    <row r="329" spans="1:2" x14ac:dyDescent="0.25">
      <c r="A329" s="2">
        <v>46155</v>
      </c>
      <c r="B329" s="3">
        <v>22.5</v>
      </c>
    </row>
    <row r="330" spans="1:2" x14ac:dyDescent="0.25">
      <c r="A330" s="2">
        <v>46156</v>
      </c>
      <c r="B330" s="3">
        <v>22.8125</v>
      </c>
    </row>
    <row r="331" spans="1:2" x14ac:dyDescent="0.25">
      <c r="A331" s="2">
        <v>46157</v>
      </c>
      <c r="B331" s="3">
        <v>22.8125</v>
      </c>
    </row>
    <row r="332" spans="1:2" x14ac:dyDescent="0.25">
      <c r="A332" s="2">
        <v>46160</v>
      </c>
      <c r="B332" s="3">
        <v>22.8125</v>
      </c>
    </row>
    <row r="333" spans="1:2" x14ac:dyDescent="0.25">
      <c r="A333" s="2">
        <v>46161</v>
      </c>
      <c r="B333" s="3">
        <v>22.9375</v>
      </c>
    </row>
    <row r="334" spans="1:2" x14ac:dyDescent="0.25">
      <c r="A334" s="2">
        <v>46162</v>
      </c>
      <c r="B334" s="3">
        <v>22.75</v>
      </c>
    </row>
    <row r="335" spans="1:2" x14ac:dyDescent="0.25">
      <c r="A335" s="2">
        <v>46163</v>
      </c>
      <c r="B335" s="3">
        <v>22.9375</v>
      </c>
    </row>
    <row r="336" spans="1:2" x14ac:dyDescent="0.25">
      <c r="A336" s="2">
        <v>46164</v>
      </c>
      <c r="B336" s="3">
        <v>22.9375</v>
      </c>
    </row>
    <row r="337" spans="1:2" x14ac:dyDescent="0.25">
      <c r="A337" s="2">
        <v>46168</v>
      </c>
      <c r="B337" s="3">
        <v>22.8125</v>
      </c>
    </row>
    <row r="338" spans="1:2" x14ac:dyDescent="0.25">
      <c r="A338" s="2">
        <v>46169</v>
      </c>
      <c r="B338" s="3">
        <v>22.8125</v>
      </c>
    </row>
    <row r="339" spans="1:2" x14ac:dyDescent="0.25">
      <c r="A339" s="2">
        <v>46170</v>
      </c>
      <c r="B339" s="3">
        <v>23</v>
      </c>
    </row>
    <row r="340" spans="1:2" x14ac:dyDescent="0.25">
      <c r="A340" s="2">
        <v>46171</v>
      </c>
      <c r="B340" s="3">
        <v>22.25</v>
      </c>
    </row>
    <row r="341" spans="1:2" x14ac:dyDescent="0.25">
      <c r="A341" s="2">
        <v>46174</v>
      </c>
      <c r="B341" s="3">
        <v>22.9375</v>
      </c>
    </row>
    <row r="342" spans="1:2" x14ac:dyDescent="0.25">
      <c r="A342" s="2">
        <v>46175</v>
      </c>
      <c r="B342" s="3">
        <v>22.75</v>
      </c>
    </row>
    <row r="343" spans="1:2" x14ac:dyDescent="0.25">
      <c r="A343" s="2">
        <v>46176</v>
      </c>
      <c r="B343" s="3">
        <v>22.125</v>
      </c>
    </row>
    <row r="344" spans="1:2" x14ac:dyDescent="0.25">
      <c r="A344" s="2">
        <v>46177</v>
      </c>
      <c r="B344" s="3">
        <v>22.25</v>
      </c>
    </row>
    <row r="345" spans="1:2" x14ac:dyDescent="0.25">
      <c r="A345" s="2">
        <v>46178</v>
      </c>
      <c r="B345" s="3">
        <v>21.8125</v>
      </c>
    </row>
    <row r="346" spans="1:2" x14ac:dyDescent="0.25">
      <c r="A346" s="2">
        <v>46181</v>
      </c>
      <c r="B346" s="3">
        <v>21.625</v>
      </c>
    </row>
    <row r="347" spans="1:2" x14ac:dyDescent="0.25">
      <c r="A347" s="2">
        <v>46182</v>
      </c>
      <c r="B347" s="3">
        <v>21.5</v>
      </c>
    </row>
    <row r="348" spans="1:2" x14ac:dyDescent="0.25">
      <c r="A348" s="2">
        <v>46183</v>
      </c>
      <c r="B348" s="3">
        <v>21.5625</v>
      </c>
    </row>
    <row r="349" spans="1:2" x14ac:dyDescent="0.25">
      <c r="A349" s="2">
        <v>46184</v>
      </c>
      <c r="B349" s="3">
        <v>21.5</v>
      </c>
    </row>
    <row r="350" spans="1:2" x14ac:dyDescent="0.25">
      <c r="A350" s="2">
        <v>46185</v>
      </c>
      <c r="B350" s="3">
        <v>21.375</v>
      </c>
    </row>
    <row r="351" spans="1:2" x14ac:dyDescent="0.25">
      <c r="A351" s="2">
        <v>46189</v>
      </c>
      <c r="B351" s="3">
        <v>21.75</v>
      </c>
    </row>
    <row r="352" spans="1:2" x14ac:dyDescent="0.25">
      <c r="A352" s="2">
        <v>46190</v>
      </c>
      <c r="B352" s="3">
        <v>21.9375</v>
      </c>
    </row>
    <row r="353" spans="1:2" x14ac:dyDescent="0.25">
      <c r="A353" s="2">
        <v>46191</v>
      </c>
      <c r="B353" s="3">
        <v>22.25</v>
      </c>
    </row>
    <row r="354" spans="1:2" x14ac:dyDescent="0.25">
      <c r="A354" s="2">
        <v>46192</v>
      </c>
      <c r="B354" s="3">
        <v>22.1875</v>
      </c>
    </row>
    <row r="355" spans="1:2" x14ac:dyDescent="0.25">
      <c r="A355" s="2">
        <v>46195</v>
      </c>
      <c r="B355" s="3">
        <v>22.375</v>
      </c>
    </row>
    <row r="356" spans="1:2" x14ac:dyDescent="0.25">
      <c r="A356" s="2">
        <v>46196</v>
      </c>
      <c r="B356" s="3">
        <v>22.5</v>
      </c>
    </row>
    <row r="357" spans="1:2" x14ac:dyDescent="0.25">
      <c r="A357" s="2">
        <v>46197</v>
      </c>
      <c r="B357" s="3">
        <v>22.25</v>
      </c>
    </row>
    <row r="358" spans="1:2" x14ac:dyDescent="0.25">
      <c r="A358" s="2">
        <v>46198</v>
      </c>
      <c r="B358" s="3">
        <v>22.8125</v>
      </c>
    </row>
    <row r="359" spans="1:2" x14ac:dyDescent="0.25">
      <c r="A359" s="2">
        <v>46199</v>
      </c>
      <c r="B359" s="3">
        <v>22.5625</v>
      </c>
    </row>
    <row r="360" spans="1:2" x14ac:dyDescent="0.25">
      <c r="A360" s="2">
        <v>46202</v>
      </c>
      <c r="B360" s="3">
        <v>22.9375</v>
      </c>
    </row>
    <row r="361" spans="1:2" x14ac:dyDescent="0.25">
      <c r="A361" s="2">
        <v>46203</v>
      </c>
      <c r="B361" s="3">
        <v>22.6875</v>
      </c>
    </row>
    <row r="362" spans="1:2" x14ac:dyDescent="0.25">
      <c r="A362" s="2">
        <v>46204</v>
      </c>
      <c r="B362" s="3">
        <v>22.1875</v>
      </c>
    </row>
    <row r="363" spans="1:2" x14ac:dyDescent="0.25">
      <c r="A363" s="2">
        <v>46205</v>
      </c>
      <c r="B363" s="3">
        <v>22.125</v>
      </c>
    </row>
    <row r="364" spans="1:2" x14ac:dyDescent="0.25">
      <c r="A364" s="2">
        <v>46206</v>
      </c>
      <c r="B364" s="3">
        <v>21.875</v>
      </c>
    </row>
    <row r="365" spans="1:2" x14ac:dyDescent="0.25">
      <c r="A365" s="2">
        <v>46209</v>
      </c>
      <c r="B365" s="3">
        <v>21.9375</v>
      </c>
    </row>
    <row r="366" spans="1:2" x14ac:dyDescent="0.25">
      <c r="A366" s="2">
        <v>46210</v>
      </c>
      <c r="B366" s="3">
        <v>21.9375</v>
      </c>
    </row>
    <row r="367" spans="1:2" x14ac:dyDescent="0.25">
      <c r="A367" s="2">
        <v>46211</v>
      </c>
      <c r="B367" s="3">
        <v>21.9375</v>
      </c>
    </row>
    <row r="368" spans="1:2" x14ac:dyDescent="0.25">
      <c r="A368" s="2">
        <v>46216</v>
      </c>
      <c r="B368" s="3">
        <v>22.4375</v>
      </c>
    </row>
    <row r="369" spans="1:2" x14ac:dyDescent="0.25">
      <c r="A369" s="2">
        <v>46217</v>
      </c>
      <c r="B369" s="3">
        <v>22.625</v>
      </c>
    </row>
    <row r="370" spans="1:2" x14ac:dyDescent="0.25">
      <c r="A370" s="2">
        <v>46218</v>
      </c>
      <c r="B370" s="3">
        <v>22.625</v>
      </c>
    </row>
    <row r="371" spans="1:2" x14ac:dyDescent="0.25">
      <c r="A371" s="2">
        <v>46219</v>
      </c>
      <c r="B371" s="3">
        <v>22.625</v>
      </c>
    </row>
    <row r="372" spans="1:2" x14ac:dyDescent="0.25">
      <c r="A372" s="2">
        <v>46220</v>
      </c>
      <c r="B372" s="3">
        <v>22.875</v>
      </c>
    </row>
    <row r="373" spans="1:2" x14ac:dyDescent="0.25">
      <c r="A373" s="2">
        <v>46223</v>
      </c>
      <c r="B373" s="3">
        <v>22.6875</v>
      </c>
    </row>
    <row r="374" spans="1:2" x14ac:dyDescent="0.25">
      <c r="A374" s="2">
        <v>46224</v>
      </c>
      <c r="B374" s="3">
        <v>22.9375</v>
      </c>
    </row>
    <row r="375" spans="1:2" x14ac:dyDescent="0.25">
      <c r="A375" s="2">
        <v>46225</v>
      </c>
      <c r="B375" s="3">
        <v>22.9375</v>
      </c>
    </row>
    <row r="376" spans="1:2" x14ac:dyDescent="0.25">
      <c r="A376" s="2">
        <v>46226</v>
      </c>
      <c r="B376" s="3">
        <v>22.9375</v>
      </c>
    </row>
    <row r="377" spans="1:2" x14ac:dyDescent="0.25">
      <c r="A377" s="2">
        <v>46227</v>
      </c>
      <c r="B377" s="3">
        <v>22.6875</v>
      </c>
    </row>
    <row r="378" spans="1:2" x14ac:dyDescent="0.25">
      <c r="A378" s="2">
        <v>46230</v>
      </c>
      <c r="B378" s="3">
        <v>22.8125</v>
      </c>
    </row>
    <row r="379" spans="1:2" x14ac:dyDescent="0.25">
      <c r="A379" s="2">
        <v>46231</v>
      </c>
      <c r="B379" s="3">
        <v>22.875</v>
      </c>
    </row>
    <row r="380" spans="1:2" x14ac:dyDescent="0.25">
      <c r="A380" s="2">
        <v>46232</v>
      </c>
      <c r="B380" s="3">
        <v>22.375</v>
      </c>
    </row>
    <row r="381" spans="1:2" x14ac:dyDescent="0.25">
      <c r="A381" s="2">
        <v>46233</v>
      </c>
      <c r="B381" s="3">
        <v>22.875</v>
      </c>
    </row>
    <row r="382" spans="1:2" x14ac:dyDescent="0.25">
      <c r="A382" s="2">
        <v>46234</v>
      </c>
      <c r="B382" s="3">
        <v>23.3125</v>
      </c>
    </row>
    <row r="383" spans="1:2" x14ac:dyDescent="0.25">
      <c r="A383" s="2">
        <v>46237</v>
      </c>
      <c r="B383" s="3">
        <v>22.9375</v>
      </c>
    </row>
    <row r="384" spans="1:2" x14ac:dyDescent="0.25">
      <c r="A384" s="2">
        <v>46238</v>
      </c>
      <c r="B384" s="3">
        <v>23.125</v>
      </c>
    </row>
    <row r="385" spans="1:2" x14ac:dyDescent="0.25">
      <c r="A385" s="2">
        <v>46239</v>
      </c>
      <c r="B385" s="3">
        <v>22.875</v>
      </c>
    </row>
    <row r="386" spans="1:2" x14ac:dyDescent="0.25">
      <c r="A386" s="2">
        <v>46240</v>
      </c>
      <c r="B386" s="3">
        <v>23.25</v>
      </c>
    </row>
    <row r="387" spans="1:2" x14ac:dyDescent="0.25">
      <c r="A387" s="2">
        <v>46241</v>
      </c>
      <c r="B387" s="3">
        <v>23.375</v>
      </c>
    </row>
    <row r="388" spans="1:2" x14ac:dyDescent="0.25">
      <c r="A388" s="2">
        <v>46244</v>
      </c>
      <c r="B388" s="3">
        <v>23.3125</v>
      </c>
    </row>
    <row r="389" spans="1:2" x14ac:dyDescent="0.25">
      <c r="A389" s="2">
        <v>46245</v>
      </c>
      <c r="B389" s="3">
        <v>23.875</v>
      </c>
    </row>
    <row r="390" spans="1:2" x14ac:dyDescent="0.25">
      <c r="A390" s="2">
        <v>46246</v>
      </c>
      <c r="B390" s="3">
        <v>23.1875</v>
      </c>
    </row>
    <row r="391" spans="1:2" x14ac:dyDescent="0.25">
      <c r="A391" s="2">
        <v>46247</v>
      </c>
      <c r="B391" s="3">
        <v>24.1875</v>
      </c>
    </row>
    <row r="392" spans="1:2" x14ac:dyDescent="0.25">
      <c r="A392" s="2">
        <v>46248</v>
      </c>
      <c r="B392" s="3">
        <v>24.5625</v>
      </c>
    </row>
    <row r="393" spans="1:2" x14ac:dyDescent="0.25">
      <c r="A393" s="2">
        <v>46252</v>
      </c>
      <c r="B393" s="3">
        <v>24.5</v>
      </c>
    </row>
    <row r="394" spans="1:2" x14ac:dyDescent="0.25">
      <c r="A394" s="2">
        <v>46253</v>
      </c>
      <c r="B394" s="3">
        <v>25.1875</v>
      </c>
    </row>
    <row r="395" spans="1:2" x14ac:dyDescent="0.25">
      <c r="A395" s="2">
        <v>46254</v>
      </c>
      <c r="B395" s="3">
        <v>26.5</v>
      </c>
    </row>
    <row r="396" spans="1:2" x14ac:dyDescent="0.25">
      <c r="A396" s="2">
        <v>46255</v>
      </c>
      <c r="B396" s="3">
        <v>25.3125</v>
      </c>
    </row>
    <row r="397" spans="1:2" x14ac:dyDescent="0.25">
      <c r="A397" s="2">
        <v>46258</v>
      </c>
      <c r="B397" s="3">
        <v>25.0625</v>
      </c>
    </row>
    <row r="398" spans="1:2" x14ac:dyDescent="0.25">
      <c r="A398" s="2">
        <v>46259</v>
      </c>
      <c r="B398" s="3">
        <v>25.25</v>
      </c>
    </row>
    <row r="399" spans="1:2" x14ac:dyDescent="0.25">
      <c r="A399" s="2">
        <v>46260</v>
      </c>
      <c r="B399" s="3">
        <v>25.125</v>
      </c>
    </row>
    <row r="400" spans="1:2" x14ac:dyDescent="0.25">
      <c r="A400" s="2">
        <v>46261</v>
      </c>
      <c r="B400" s="3">
        <v>25.1875</v>
      </c>
    </row>
    <row r="401" spans="1:2" x14ac:dyDescent="0.25">
      <c r="A401" s="2">
        <v>46262</v>
      </c>
      <c r="B401" s="3">
        <v>24.625</v>
      </c>
    </row>
    <row r="402" spans="1:2" x14ac:dyDescent="0.25">
      <c r="A402" s="2">
        <v>46265</v>
      </c>
      <c r="B402" s="3">
        <v>24.6875</v>
      </c>
    </row>
    <row r="403" spans="1:2" x14ac:dyDescent="0.25">
      <c r="A403" s="2">
        <v>46266</v>
      </c>
      <c r="B403" s="3">
        <v>23.8125</v>
      </c>
    </row>
    <row r="404" spans="1:2" x14ac:dyDescent="0.25">
      <c r="A404" s="2">
        <v>46267</v>
      </c>
      <c r="B404" s="3">
        <v>24.5</v>
      </c>
    </row>
    <row r="405" spans="1:2" x14ac:dyDescent="0.25">
      <c r="A405" s="2">
        <v>46268</v>
      </c>
      <c r="B405" s="3">
        <v>24.25</v>
      </c>
    </row>
    <row r="406" spans="1:2" x14ac:dyDescent="0.25">
      <c r="A406" s="2">
        <v>46269</v>
      </c>
      <c r="B406" s="3">
        <v>24.0625</v>
      </c>
    </row>
    <row r="407" spans="1:2" x14ac:dyDescent="0.25">
      <c r="A407" s="2">
        <v>46272</v>
      </c>
      <c r="B407" s="3">
        <v>24.1875</v>
      </c>
    </row>
    <row r="408" spans="1:2" x14ac:dyDescent="0.25">
      <c r="A408" s="2">
        <v>46273</v>
      </c>
      <c r="B408" s="3">
        <v>24</v>
      </c>
    </row>
    <row r="409" spans="1:2" x14ac:dyDescent="0.25">
      <c r="A409" s="2">
        <v>46274</v>
      </c>
      <c r="B409" s="3">
        <v>23.5625</v>
      </c>
    </row>
    <row r="410" spans="1:2" x14ac:dyDescent="0.25">
      <c r="A410" s="2">
        <v>46275</v>
      </c>
      <c r="B410" s="3">
        <v>23.8125</v>
      </c>
    </row>
    <row r="411" spans="1:2" x14ac:dyDescent="0.25">
      <c r="A411" s="2">
        <v>46276</v>
      </c>
      <c r="B411" s="3">
        <v>23.4375</v>
      </c>
    </row>
    <row r="412" spans="1:2" x14ac:dyDescent="0.25">
      <c r="A412" s="2">
        <v>46279</v>
      </c>
      <c r="B412" s="3">
        <v>23.625</v>
      </c>
    </row>
    <row r="413" spans="1:2" x14ac:dyDescent="0.25">
      <c r="A413" s="2">
        <v>46280</v>
      </c>
      <c r="B413" s="3">
        <v>23.625</v>
      </c>
    </row>
    <row r="414" spans="1:2" x14ac:dyDescent="0.25">
      <c r="A414" s="2">
        <v>46281</v>
      </c>
      <c r="B414" s="3">
        <v>23.625</v>
      </c>
    </row>
    <row r="415" spans="1:2" x14ac:dyDescent="0.25">
      <c r="A415" s="2">
        <v>46282</v>
      </c>
      <c r="B415" s="3">
        <v>23.5625</v>
      </c>
    </row>
    <row r="416" spans="1:2" x14ac:dyDescent="0.25">
      <c r="A416" s="2">
        <v>46283</v>
      </c>
      <c r="B416" s="3">
        <v>23.25</v>
      </c>
    </row>
    <row r="417" spans="1:2" x14ac:dyDescent="0.25">
      <c r="A417" s="2">
        <v>46286</v>
      </c>
      <c r="B417" s="3">
        <v>23.5</v>
      </c>
    </row>
    <row r="418" spans="1:2" x14ac:dyDescent="0.25">
      <c r="A418" s="2">
        <v>46287</v>
      </c>
      <c r="B418" s="3">
        <v>23.625</v>
      </c>
    </row>
    <row r="419" spans="1:2" x14ac:dyDescent="0.25">
      <c r="A419" s="2">
        <v>46288</v>
      </c>
      <c r="B419" s="3">
        <v>23.6875</v>
      </c>
    </row>
    <row r="420" spans="1:2" x14ac:dyDescent="0.25">
      <c r="A420" s="2">
        <f>+WORKDAY(A419,1,Feriados!$A$2:$A$38)</f>
        <v>46289</v>
      </c>
      <c r="B420" s="3">
        <f>+IFERROR(VLOOKUP(A420,[2]Variables!$M:$N,2,0),0)</f>
        <v>23.75</v>
      </c>
    </row>
    <row r="421" spans="1:2" x14ac:dyDescent="0.25">
      <c r="A421" s="2">
        <f>+WORKDAY(A420,1,Feriados!$A$2:$A$38)</f>
        <v>46290</v>
      </c>
      <c r="B421" s="3">
        <f>+IFERROR(VLOOKUP(A421,[2]Variables!$M:$N,2,0),0)</f>
        <v>23.625</v>
      </c>
    </row>
    <row r="422" spans="1:2" x14ac:dyDescent="0.25">
      <c r="A422" s="2">
        <f>+WORKDAY(A421,1,Feriados!$A$2:$A$38)</f>
        <v>46293</v>
      </c>
      <c r="B422" s="3">
        <f>+IFERROR(VLOOKUP(A422,[2]Variables!$M:$N,2,0),0)</f>
        <v>23.4375</v>
      </c>
    </row>
    <row r="423" spans="1:2" x14ac:dyDescent="0.25">
      <c r="A423" s="2">
        <f>+WORKDAY(A422,1,Feriados!$A$2:$A$38)</f>
        <v>46294</v>
      </c>
      <c r="B423" s="3">
        <f>+IFERROR(VLOOKUP(A423,[2]Variables!$M:$N,2,0),0)</f>
        <v>24.3125</v>
      </c>
    </row>
    <row r="424" spans="1:2" x14ac:dyDescent="0.25">
      <c r="A424" s="2">
        <f>+WORKDAY(A423,1,Feriados!$A$2:$A$38)</f>
        <v>46295</v>
      </c>
      <c r="B424" s="3">
        <f>+IFERROR(VLOOKUP(A424,[2]Variables!$M:$N,2,0),0)</f>
        <v>24.125</v>
      </c>
    </row>
    <row r="425" spans="1:2" x14ac:dyDescent="0.25">
      <c r="A425" s="2">
        <f>+WORKDAY(A424,1,Feriados!$A$2:$A$38)</f>
        <v>46296</v>
      </c>
      <c r="B425" s="3">
        <f>+IFERROR(VLOOKUP(A425,[2]Variables!$M:$N,2,0),0)</f>
        <v>24.4375</v>
      </c>
    </row>
    <row r="426" spans="1:2" x14ac:dyDescent="0.25">
      <c r="A426" s="2">
        <f>+WORKDAY(A425,1,Feriados!$A$2:$A$38)</f>
        <v>46297</v>
      </c>
      <c r="B426" s="3">
        <f>+IFERROR(VLOOKUP(A426,[2]Variables!$M:$N,2,0),0)</f>
        <v>24.5625</v>
      </c>
    </row>
    <row r="427" spans="1:2" x14ac:dyDescent="0.25">
      <c r="A427" s="2">
        <f>+WORKDAY(A426,1,Feriados!$A$2:$A$38)</f>
        <v>46300</v>
      </c>
      <c r="B427" s="3">
        <f>+IFERROR(VLOOKUP(A427,[2]Variables!$M:$N,2,0),0)</f>
        <v>23.75</v>
      </c>
    </row>
    <row r="428" spans="1:2" x14ac:dyDescent="0.25">
      <c r="A428" s="2">
        <f>+WORKDAY(A427,1,Feriados!$A$2:$A$38)</f>
        <v>46301</v>
      </c>
      <c r="B428" s="3">
        <f>+IFERROR(VLOOKUP(A428,[2]Variables!$M:$N,2,0),0)</f>
        <v>24.1875</v>
      </c>
    </row>
    <row r="429" spans="1:2" x14ac:dyDescent="0.25">
      <c r="A429" s="2">
        <f>+WORKDAY(A428,1,Feriados!$A$2:$A$38)</f>
        <v>46302</v>
      </c>
      <c r="B429" s="3">
        <f>+IFERROR(VLOOKUP(A429,[2]Variables!$M:$N,2,0),0)</f>
        <v>24</v>
      </c>
    </row>
    <row r="430" spans="1:2" x14ac:dyDescent="0.25">
      <c r="A430" s="2">
        <f>+WORKDAY(A429,1,Feriados!$A$2:$A$38)</f>
        <v>46303</v>
      </c>
      <c r="B430" s="3">
        <f>+IFERROR(VLOOKUP(A430,[2]Variables!$M:$N,2,0),0)</f>
        <v>24.125</v>
      </c>
    </row>
    <row r="431" spans="1:2" x14ac:dyDescent="0.25">
      <c r="A431" s="2">
        <f>+WORKDAY(A430,1,Feriados!$A$2:$A$38)</f>
        <v>46304</v>
      </c>
      <c r="B431" s="3">
        <f>+IFERROR(VLOOKUP(A431,[2]Variables!$M:$N,2,0),0)</f>
        <v>24.0625</v>
      </c>
    </row>
    <row r="432" spans="1:2" x14ac:dyDescent="0.25">
      <c r="A432" s="2">
        <f>+WORKDAY(A431,1,Feriados!$A$2:$A$38)</f>
        <v>46308</v>
      </c>
      <c r="B432" s="3">
        <f>+IFERROR(VLOOKUP(A432,[2]Variables!$M:$N,2,0),0)</f>
        <v>23.8125</v>
      </c>
    </row>
    <row r="433" spans="1:3" x14ac:dyDescent="0.25">
      <c r="A433" s="2">
        <f>+WORKDAY(A432,1,Feriados!$A$2:$A$38)</f>
        <v>46309</v>
      </c>
      <c r="B433" s="3">
        <f>+IFERROR(VLOOKUP(A433,[2]Variables!$M:$N,2,0),0)</f>
        <v>24.5625</v>
      </c>
      <c r="C433" s="5"/>
    </row>
    <row r="434" spans="1:3" x14ac:dyDescent="0.25">
      <c r="A434" s="2">
        <f>+WORKDAY(A433,1,Feriados!$A$2:$A$38)</f>
        <v>46310</v>
      </c>
      <c r="B434" s="3">
        <f>+IFERROR(VLOOKUP(A434,[2]Variables!$M:$N,2,0),0)</f>
        <v>24.5</v>
      </c>
    </row>
    <row r="435" spans="1:3" x14ac:dyDescent="0.25">
      <c r="A435" s="2">
        <f>+WORKDAY(A434,1,Feriados!$A$2:$A$38)</f>
        <v>46311</v>
      </c>
      <c r="B435" s="3">
        <f>+IFERROR(VLOOKUP(A435,[2]Variables!$M:$N,2,0),0)</f>
        <v>24.625</v>
      </c>
    </row>
    <row r="436" spans="1:3" x14ac:dyDescent="0.25">
      <c r="A436" s="2">
        <f>+WORKDAY(A435,1,Feriados!$A$2:$A$38)</f>
        <v>46314</v>
      </c>
      <c r="B436" s="3">
        <f>+IFERROR(VLOOKUP(A436,[2]Variables!$M:$N,2,0),0)</f>
        <v>24</v>
      </c>
    </row>
    <row r="437" spans="1:3" x14ac:dyDescent="0.25">
      <c r="A437" s="2">
        <f>+WORKDAY(A436,1,Feriados!$A$2:$A$38)</f>
        <v>46315</v>
      </c>
      <c r="B437" s="3">
        <f>+IFERROR(VLOOKUP(A437,[2]Variables!$M:$N,2,0),0)</f>
        <v>24.375</v>
      </c>
    </row>
    <row r="438" spans="1:3" x14ac:dyDescent="0.25">
      <c r="A438" s="2">
        <f>+WORKDAY(A437,1,Feriados!$A$2:$A$38)</f>
        <v>46316</v>
      </c>
      <c r="B438" s="3">
        <f>+IFERROR(VLOOKUP(A438,[2]Variables!$M:$N,2,0),0)</f>
        <v>24.1875</v>
      </c>
    </row>
    <row r="439" spans="1:3" x14ac:dyDescent="0.25">
      <c r="A439" s="2">
        <f>+WORKDAY(A438,1,Feriados!$A$2:$A$38)</f>
        <v>46317</v>
      </c>
      <c r="B439" s="3">
        <f>+IFERROR(VLOOKUP(A439,[2]Variables!$M:$N,2,0),0)</f>
        <v>24.5</v>
      </c>
    </row>
    <row r="440" spans="1:3" x14ac:dyDescent="0.25">
      <c r="A440" s="2">
        <f>+WORKDAY(A439,1,Feriados!$A$2:$A$38)</f>
        <v>46318</v>
      </c>
    </row>
    <row r="441" spans="1:3" x14ac:dyDescent="0.25">
      <c r="A441" s="2">
        <f>+WORKDAY(A440,1,Feriados!$A$2:$A$38)</f>
        <v>46321</v>
      </c>
    </row>
    <row r="442" spans="1:3" x14ac:dyDescent="0.25">
      <c r="A442" s="2">
        <f>+WORKDAY(A441,1,Feriados!$A$2:$A$38)</f>
        <v>46322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96"/>
  <sheetViews>
    <sheetView topLeftCell="A425" workbookViewId="0">
      <selection activeCell="B418" sqref="B418"/>
    </sheetView>
  </sheetViews>
  <sheetFormatPr baseColWidth="10" defaultRowHeight="15" x14ac:dyDescent="0.25"/>
  <sheetData>
    <row r="1" spans="1:2" x14ac:dyDescent="0.25">
      <c r="A1" s="2" t="s">
        <v>2</v>
      </c>
      <c r="B1" s="3" t="s">
        <v>21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+WORKDAY(A419,1,[3]Feriados!$A$2:$A$38)</f>
        <v>46289</v>
      </c>
      <c r="B420" s="3">
        <v>844.43527310563002</v>
      </c>
    </row>
    <row r="421" spans="1:2" x14ac:dyDescent="0.25">
      <c r="A421" s="2">
        <f>+WORKDAY(A420,1,[3]Feriados!$A$2:$A$38)</f>
        <v>46290</v>
      </c>
      <c r="B421" s="3">
        <v>844.90989791504001</v>
      </c>
    </row>
    <row r="422" spans="1:2" x14ac:dyDescent="0.25">
      <c r="A422" s="2">
        <f>+WORKDAY(A421,1,[3]Feriados!$A$2:$A$38)</f>
        <v>46293</v>
      </c>
      <c r="B422" s="3">
        <v>846.33537355394003</v>
      </c>
    </row>
    <row r="423" spans="1:2" x14ac:dyDescent="0.25">
      <c r="A423" s="2">
        <f>+WORKDAY(A422,1,[3]Feriados!$A$2:$A$38)</f>
        <v>46294</v>
      </c>
      <c r="B423" s="3">
        <v>846.81106633722004</v>
      </c>
    </row>
    <row r="424" spans="1:2" x14ac:dyDescent="0.25">
      <c r="A424" s="2">
        <f>+WORKDAY(A423,1,[3]Feriados!$A$2:$A$38)</f>
        <v>46295</v>
      </c>
      <c r="B424" s="3">
        <v>847.28702648924002</v>
      </c>
    </row>
    <row r="425" spans="1:2" x14ac:dyDescent="0.25">
      <c r="A425" s="2">
        <f>+WORKDAY(A424,1,[3]Feriados!$A$2:$A$38)</f>
        <v>46296</v>
      </c>
      <c r="B425" s="3">
        <f>+IFERROR(VLOOKUP(A425,[2]Variables!$P:$Q,2,0),B424)</f>
        <v>847.76325416028999</v>
      </c>
    </row>
    <row r="426" spans="1:2" x14ac:dyDescent="0.25">
      <c r="A426" s="2">
        <f>+WORKDAY(A425,1,[3]Feriados!$A$2:$A$38)</f>
        <v>46297</v>
      </c>
      <c r="B426" s="3">
        <f>+IFERROR(VLOOKUP(A426,[2]Variables!$P:$Q,2,0),B425)</f>
        <v>848.23974950070999</v>
      </c>
    </row>
    <row r="427" spans="1:2" x14ac:dyDescent="0.25">
      <c r="A427" s="2">
        <f>+WORKDAY(A426,1,[3]Feriados!$A$2:$A$38)</f>
        <v>46300</v>
      </c>
      <c r="B427" s="3">
        <f>+IFERROR(VLOOKUP(A427,[2]Variables!$P:$Q,2,0),B426)</f>
        <v>849.67084304316995</v>
      </c>
    </row>
    <row r="428" spans="1:2" x14ac:dyDescent="0.25">
      <c r="A428" s="2">
        <f>+WORKDAY(A427,1,[3]Feriados!$A$2:$A$38)</f>
        <v>46301</v>
      </c>
      <c r="B428" s="3">
        <f>+IFERROR(VLOOKUP(A428,[2]Variables!$P:$Q,2,0),B427)</f>
        <v>850.14841056643002</v>
      </c>
    </row>
    <row r="429" spans="1:2" x14ac:dyDescent="0.25">
      <c r="A429" s="2">
        <f>+WORKDAY(A428,1,[3]Feriados!$A$2:$A$38)</f>
        <v>46302</v>
      </c>
      <c r="B429" s="3">
        <f>+IFERROR(VLOOKUP(A429,[2]Variables!$P:$Q,2,0),B428)</f>
        <v>850.62624651216004</v>
      </c>
    </row>
    <row r="430" spans="1:2" x14ac:dyDescent="0.25">
      <c r="A430" s="2">
        <f>+WORKDAY(A429,1,[3]Feriados!$A$2:$A$38)</f>
        <v>46303</v>
      </c>
      <c r="B430" s="3">
        <f>+IFERROR(VLOOKUP(A430,[2]Variables!$P:$Q,2,0),B429)</f>
        <v>851.10435103121995</v>
      </c>
    </row>
    <row r="431" spans="1:2" x14ac:dyDescent="0.25">
      <c r="A431" s="2">
        <f>+WORKDAY(A430,1,[3]Feriados!$A$2:$A$38)</f>
        <v>46304</v>
      </c>
      <c r="B431" s="3">
        <f>+IFERROR(VLOOKUP(A431,[2]Variables!$P:$Q,2,0),B430)</f>
        <v>851.58272427456996</v>
      </c>
    </row>
    <row r="432" spans="1:2" x14ac:dyDescent="0.25">
      <c r="A432" s="2">
        <f>+WORKDAY(A431,1,[3]Feriados!$A$2:$A$38)</f>
        <v>46308</v>
      </c>
      <c r="B432" s="3">
        <f>+IFERROR(VLOOKUP(A432,[2]Variables!$P:$Q,2,0),B431)</f>
        <v>853.49890751288001</v>
      </c>
    </row>
    <row r="433" spans="1:2" x14ac:dyDescent="0.25">
      <c r="A433" s="2">
        <f>+WORKDAY(A432,1,[3]Feriados!$A$2:$A$38)</f>
        <v>46309</v>
      </c>
      <c r="B433" s="3">
        <f>+IFERROR(VLOOKUP(A433,[2]Variables!$P:$Q,2,0),B432)</f>
        <v>853.97862664495005</v>
      </c>
    </row>
    <row r="434" spans="1:2" x14ac:dyDescent="0.25">
      <c r="A434" s="2">
        <f>+WORKDAY(A433,1,[3]Feriados!$A$2:$A$38)</f>
        <v>46310</v>
      </c>
      <c r="B434" s="3">
        <f>+IFERROR(VLOOKUP(A434,[2]Variables!$P:$Q,2,0),B433)</f>
        <v>854.45861540882004</v>
      </c>
    </row>
    <row r="435" spans="1:2" x14ac:dyDescent="0.25">
      <c r="A435" s="2">
        <f>+WORKDAY(A434,1,[3]Feriados!$A$2:$A$38)</f>
        <v>46311</v>
      </c>
      <c r="B435" s="3">
        <f>+IFERROR(VLOOKUP(A435,[2]Variables!$P:$Q,2,0),B434)</f>
        <v>854.97756035401005</v>
      </c>
    </row>
    <row r="436" spans="1:2" x14ac:dyDescent="0.25">
      <c r="A436" s="2">
        <f>+WORKDAY(A435,1,Feriados!$A$2:$A$38)</f>
        <v>46314</v>
      </c>
      <c r="B436" s="3">
        <f>+IFERROR(VLOOKUP(A436,[2]Variables!$P:$Q,2,0),B435)</f>
        <v>856.53628700440004</v>
      </c>
    </row>
    <row r="437" spans="1:2" x14ac:dyDescent="0.25">
      <c r="A437" s="2">
        <f>+WORKDAY(A436,1,Feriados!$A$2:$A$38)</f>
        <v>46315</v>
      </c>
      <c r="B437" s="3">
        <f>+IFERROR(VLOOKUP(A437,[2]Variables!$P:$Q,2,0),B436)</f>
        <v>857.05649379790998</v>
      </c>
    </row>
    <row r="438" spans="1:2" x14ac:dyDescent="0.25">
      <c r="A438" s="2">
        <f>+WORKDAY(A437,1,Feriados!$A$2:$A$38)</f>
        <v>46316</v>
      </c>
      <c r="B438" s="3">
        <f>+IFERROR(VLOOKUP(A438,[2]Variables!$P:$Q,2,0),B437)</f>
        <v>857.57701653262995</v>
      </c>
    </row>
    <row r="439" spans="1:2" x14ac:dyDescent="0.25">
      <c r="A439" s="2">
        <f>+WORKDAY(A438,1,Feriados!$A$2:$A$38)</f>
        <v>46317</v>
      </c>
      <c r="B439" s="3">
        <f>+IFERROR(VLOOKUP(A439,[2]Variables!$P:$Q,2,0),B438)</f>
        <v>858.09785540044004</v>
      </c>
    </row>
    <row r="440" spans="1:2" x14ac:dyDescent="0.25">
      <c r="A440" s="2">
        <f>+WORKDAY(A439,1,Feriados!$A$2:$A$38)</f>
        <v>46318</v>
      </c>
      <c r="B440" s="3">
        <f>+IFERROR(VLOOKUP(A440,[2]Variables!$P:$Q,2,0),B439)</f>
        <v>858.61901059334002</v>
      </c>
    </row>
    <row r="441" spans="1:2" x14ac:dyDescent="0.25">
      <c r="A441" s="2">
        <f>+WORKDAY(A440,1,Feriados!$A$2:$A$38)</f>
        <v>46321</v>
      </c>
      <c r="B441" s="3">
        <f>+IFERROR(VLOOKUP(A441,[2]Variables!$P:$Q,2,0),B440)</f>
        <v>860.18437604431995</v>
      </c>
    </row>
    <row r="442" spans="1:2" x14ac:dyDescent="0.25">
      <c r="A442" s="2">
        <f>+WORKDAY(A441,1,Feriados!$A$2:$A$38)</f>
        <v>46322</v>
      </c>
      <c r="B442" s="3">
        <f>+IFERROR(VLOOKUP(A442,[2]Variables!$P:$Q,2,0),B441)</f>
        <v>860.70679845991003</v>
      </c>
    </row>
    <row r="443" spans="1:2" x14ac:dyDescent="0.25">
      <c r="A443" s="2">
        <f>+WORKDAY(A442,1,Feriados!$A$2:$A$38)</f>
        <v>46323</v>
      </c>
      <c r="B443" s="3">
        <f>+IFERROR(VLOOKUP(A443,[2]Variables!$P:$Q,2,0),B442)</f>
        <v>861.22953816232996</v>
      </c>
    </row>
    <row r="444" spans="1:2" x14ac:dyDescent="0.25">
      <c r="A444" s="2">
        <f>+WORKDAY(A443,1,Feriados!$A$2:$A$38)</f>
        <v>46324</v>
      </c>
      <c r="B444" s="3">
        <f>+IFERROR(VLOOKUP(A444,[2]Variables!$P:$Q,2,0),B443)</f>
        <v>861.75259534428994</v>
      </c>
    </row>
    <row r="445" spans="1:2" x14ac:dyDescent="0.25">
      <c r="A445" s="2">
        <f>+WORKDAY(A444,1,Feriados!$A$2:$A$38)</f>
        <v>46325</v>
      </c>
      <c r="B445" s="3">
        <f>+IFERROR(VLOOKUP(A445,[2]Variables!$P:$Q,2,0),B444)</f>
        <v>862.27597019861003</v>
      </c>
    </row>
    <row r="446" spans="1:2" x14ac:dyDescent="0.25">
      <c r="A446" s="2">
        <f>+WORKDAY(A445,1,Feriados!$A$2:$A$38)</f>
        <v>46328</v>
      </c>
      <c r="B446" s="3">
        <f>+IFERROR(VLOOKUP(A446,[2]Variables!$P:$Q,2,0),B445)</f>
        <v>863.84800272561995</v>
      </c>
    </row>
    <row r="447" spans="1:2" x14ac:dyDescent="0.25">
      <c r="A447" s="2">
        <f>+WORKDAY(A446,1,Feriados!$A$2:$A$38)</f>
        <v>46329</v>
      </c>
      <c r="B447" s="3">
        <f>+IFERROR(VLOOKUP(A447,[2]Variables!$P:$Q,2,0),B446)</f>
        <v>864.37265019987001</v>
      </c>
    </row>
    <row r="448" spans="1:2" x14ac:dyDescent="0.25">
      <c r="A448" s="2">
        <f>+WORKDAY(A447,1,Feriados!$A$2:$A$38)</f>
        <v>46330</v>
      </c>
      <c r="B448" s="3">
        <f>+IFERROR(VLOOKUP(A448,[2]Variables!$P:$Q,2,0),B447)</f>
        <v>864.89761631232</v>
      </c>
    </row>
    <row r="449" spans="1:2" x14ac:dyDescent="0.25">
      <c r="A449" s="2">
        <f>+WORKDAY(A448,1,Feriados!$A$2:$A$38)</f>
        <v>46331</v>
      </c>
      <c r="B449" s="3">
        <f>+IFERROR(VLOOKUP(A449,[2]Variables!$P:$Q,2,0),B448)</f>
        <v>865.42290125649004</v>
      </c>
    </row>
    <row r="450" spans="1:2" x14ac:dyDescent="0.25">
      <c r="A450" s="2">
        <f>+WORKDAY(A449,1,Feriados!$A$2:$A$38)</f>
        <v>46337</v>
      </c>
      <c r="B450" s="3">
        <f>+IFERROR(VLOOKUP(A450,[2]Variables!$P:$Q,2,0),B449)</f>
        <v>868.58131723965005</v>
      </c>
    </row>
    <row r="451" spans="1:2" x14ac:dyDescent="0.25">
      <c r="A451" s="2">
        <f>+WORKDAY(A450,1,Feriados!$A$2:$A$38)</f>
        <v>46338</v>
      </c>
      <c r="B451" s="3">
        <f>+IFERROR(VLOOKUP(A451,[2]Variables!$P:$Q,2,0),B450)</f>
        <v>869.10883943432998</v>
      </c>
    </row>
    <row r="452" spans="1:2" x14ac:dyDescent="0.25">
      <c r="A452" s="2">
        <f>+WORKDAY(A451,1,Feriados!$A$2:$A$38)</f>
        <v>46339</v>
      </c>
      <c r="B452" s="3">
        <f>+IFERROR(VLOOKUP(A452,[2]Variables!$P:$Q,2,0),B451)</f>
        <v>869.63668201313999</v>
      </c>
    </row>
    <row r="453" spans="1:2" x14ac:dyDescent="0.25">
      <c r="A453" s="2">
        <f>+WORKDAY(A452,1,Feriados!$A$2:$A$38)</f>
        <v>46342</v>
      </c>
      <c r="B453" s="3">
        <f>+IFERROR(VLOOKUP(A453,[2]Variables!$P:$Q,2,0),B452)</f>
        <v>869.63668201313999</v>
      </c>
    </row>
    <row r="454" spans="1:2" x14ac:dyDescent="0.25">
      <c r="A454" s="2">
        <f>+WORKDAY(A453,1,Feriados!$A$2:$A$38)</f>
        <v>46343</v>
      </c>
      <c r="B454" s="3">
        <f>+IFERROR(VLOOKUP(A454,[2]Variables!$P:$Q,2,0),B453)</f>
        <v>869.63668201313999</v>
      </c>
    </row>
    <row r="455" spans="1:2" x14ac:dyDescent="0.25">
      <c r="A455" s="2">
        <f>+WORKDAY(A454,1,Feriados!$A$2:$A$38)</f>
        <v>46344</v>
      </c>
      <c r="B455" s="3">
        <f>+IFERROR(VLOOKUP(A455,[2]Variables!$P:$Q,2,0),B454)</f>
        <v>869.63668201313999</v>
      </c>
    </row>
    <row r="456" spans="1:2" x14ac:dyDescent="0.25">
      <c r="A456" s="2">
        <f>+WORKDAY(A455,1,Feriados!$A$2:$A$38)</f>
        <v>46345</v>
      </c>
      <c r="B456" s="3">
        <f>+IFERROR(VLOOKUP(A456,[2]Variables!$P:$Q,2,0),B455)</f>
        <v>869.63668201313999</v>
      </c>
    </row>
    <row r="457" spans="1:2" x14ac:dyDescent="0.25">
      <c r="A457" s="2">
        <f>+WORKDAY(A456,1,Feriados!$A$2:$A$38)</f>
        <v>46346</v>
      </c>
      <c r="B457" s="3">
        <f>+IFERROR(VLOOKUP(A457,[2]Variables!$P:$Q,2,0),B456)</f>
        <v>869.63668201313999</v>
      </c>
    </row>
    <row r="458" spans="1:2" x14ac:dyDescent="0.25">
      <c r="A458" s="2">
        <f>+WORKDAY(A457,1,Feriados!$A$2:$A$38)</f>
        <v>46350</v>
      </c>
      <c r="B458" s="3">
        <f>+IFERROR(VLOOKUP(A458,[2]Variables!$P:$Q,2,0),B457)</f>
        <v>869.63668201313999</v>
      </c>
    </row>
    <row r="459" spans="1:2" x14ac:dyDescent="0.25">
      <c r="A459" s="2">
        <f>+WORKDAY(A458,1,Feriados!$A$2:$A$38)</f>
        <v>46351</v>
      </c>
      <c r="B459" s="3">
        <f>+IFERROR(VLOOKUP(A459,[2]Variables!$P:$Q,2,0),B458)</f>
        <v>869.63668201313999</v>
      </c>
    </row>
    <row r="460" spans="1:2" x14ac:dyDescent="0.25">
      <c r="A460" s="2">
        <f>+WORKDAY(A459,1,Feriados!$A$2:$A$38)</f>
        <v>46352</v>
      </c>
      <c r="B460" s="3">
        <f>+IFERROR(VLOOKUP(A460,[2]Variables!$P:$Q,2,0),B459)</f>
        <v>869.63668201313999</v>
      </c>
    </row>
    <row r="461" spans="1:2" x14ac:dyDescent="0.25">
      <c r="A461" s="2">
        <f>+WORKDAY(A460,1,Feriados!$A$2:$A$38)</f>
        <v>46353</v>
      </c>
      <c r="B461" s="3">
        <f>+IFERROR(VLOOKUP(A461,[2]Variables!$P:$Q,2,0),B460)</f>
        <v>869.63668201313999</v>
      </c>
    </row>
    <row r="462" spans="1:2" x14ac:dyDescent="0.25">
      <c r="A462" s="2">
        <f>+WORKDAY(A461,1,Feriados!$A$2:$A$38)</f>
        <v>46356</v>
      </c>
      <c r="B462" s="3">
        <f>+IFERROR(VLOOKUP(A462,[2]Variables!$P:$Q,2,0),B461)</f>
        <v>869.63668201313999</v>
      </c>
    </row>
    <row r="463" spans="1:2" x14ac:dyDescent="0.25">
      <c r="A463" s="2">
        <f>+WORKDAY(A462,1,Feriados!$A$2:$A$38)</f>
        <v>46357</v>
      </c>
      <c r="B463" s="3">
        <f>+IFERROR(VLOOKUP(A463,[2]Variables!$P:$Q,2,0),B462)</f>
        <v>869.63668201313999</v>
      </c>
    </row>
    <row r="464" spans="1:2" x14ac:dyDescent="0.25">
      <c r="A464" s="2">
        <f>+WORKDAY(A463,1,Feriados!$A$2:$A$38)</f>
        <v>46358</v>
      </c>
      <c r="B464" s="3">
        <f>+IFERROR(VLOOKUP(A464,[2]Variables!$P:$Q,2,0),B463)</f>
        <v>869.63668201313999</v>
      </c>
    </row>
    <row r="465" spans="1:2" x14ac:dyDescent="0.25">
      <c r="A465" s="2">
        <f>+WORKDAY(A464,1,Feriados!$A$2:$A$38)</f>
        <v>46359</v>
      </c>
      <c r="B465" s="3">
        <f>+IFERROR(VLOOKUP(A465,[2]Variables!$P:$Q,2,0),B464)</f>
        <v>869.63668201313999</v>
      </c>
    </row>
    <row r="466" spans="1:2" x14ac:dyDescent="0.25">
      <c r="A466" s="2">
        <f>+WORKDAY(A465,1,Feriados!$A$2:$A$38)</f>
        <v>46360</v>
      </c>
      <c r="B466" s="3">
        <f>+IFERROR(VLOOKUP(A466,[2]Variables!$P:$Q,2,0),B465)</f>
        <v>869.63668201313999</v>
      </c>
    </row>
    <row r="467" spans="1:2" x14ac:dyDescent="0.25">
      <c r="A467" s="2">
        <f>+WORKDAY(A466,1,Feriados!$A$2:$A$38)</f>
        <v>46365</v>
      </c>
      <c r="B467" s="3">
        <f>+IFERROR(VLOOKUP(A467,[2]Variables!$P:$Q,2,0),B466)</f>
        <v>869.63668201313999</v>
      </c>
    </row>
    <row r="468" spans="1:2" x14ac:dyDescent="0.25">
      <c r="A468" s="2">
        <f>+WORKDAY(A467,1,Feriados!$A$2:$A$38)</f>
        <v>46366</v>
      </c>
      <c r="B468" s="3">
        <f>+IFERROR(VLOOKUP(A468,[2]Variables!$P:$Q,2,0),B467)</f>
        <v>869.63668201313999</v>
      </c>
    </row>
    <row r="469" spans="1:2" x14ac:dyDescent="0.25">
      <c r="A469" s="2">
        <f>+WORKDAY(A468,1,Feriados!$A$2:$A$38)</f>
        <v>46367</v>
      </c>
      <c r="B469" s="3">
        <f>+IFERROR(VLOOKUP(A469,[2]Variables!$P:$Q,2,0),B468)</f>
        <v>869.63668201313999</v>
      </c>
    </row>
    <row r="470" spans="1:2" x14ac:dyDescent="0.25">
      <c r="A470" s="2">
        <f>+WORKDAY(A469,1,Feriados!$A$2:$A$38)</f>
        <v>46370</v>
      </c>
      <c r="B470" s="3">
        <f>+IFERROR(VLOOKUP(A470,[2]Variables!$P:$Q,2,0),B469)</f>
        <v>869.63668201313999</v>
      </c>
    </row>
    <row r="471" spans="1:2" x14ac:dyDescent="0.25">
      <c r="A471" s="2">
        <f>+WORKDAY(A470,1,Feriados!$A$2:$A$38)</f>
        <v>46371</v>
      </c>
      <c r="B471" s="3">
        <f>+IFERROR(VLOOKUP(A471,[2]Variables!$P:$Q,2,0),B470)</f>
        <v>869.63668201313999</v>
      </c>
    </row>
    <row r="472" spans="1:2" x14ac:dyDescent="0.25">
      <c r="A472" s="2">
        <f>+WORKDAY(A471,1,Feriados!$A$2:$A$38)</f>
        <v>46372</v>
      </c>
      <c r="B472" s="3">
        <f>+IFERROR(VLOOKUP(A472,[2]Variables!$P:$Q,2,0),B471)</f>
        <v>869.63668201313999</v>
      </c>
    </row>
    <row r="473" spans="1:2" x14ac:dyDescent="0.25">
      <c r="A473" s="2">
        <f>+WORKDAY(A472,1,Feriados!$A$2:$A$38)</f>
        <v>46373</v>
      </c>
      <c r="B473" s="3">
        <f>+IFERROR(VLOOKUP(A473,[2]Variables!$P:$Q,2,0),B472)</f>
        <v>869.63668201313999</v>
      </c>
    </row>
    <row r="474" spans="1:2" x14ac:dyDescent="0.25">
      <c r="A474" s="2">
        <f>+WORKDAY(A473,1,Feriados!$A$2:$A$38)</f>
        <v>46374</v>
      </c>
      <c r="B474" s="3">
        <f>+IFERROR(VLOOKUP(A474,[2]Variables!$P:$Q,2,0),B473)</f>
        <v>869.63668201313999</v>
      </c>
    </row>
    <row r="475" spans="1:2" x14ac:dyDescent="0.25">
      <c r="A475" s="2">
        <f>+WORKDAY(A474,1,Feriados!$A$2:$A$38)</f>
        <v>46377</v>
      </c>
      <c r="B475" s="3">
        <f>+IFERROR(VLOOKUP(A475,[2]Variables!$P:$Q,2,0),B474)</f>
        <v>869.63668201313999</v>
      </c>
    </row>
    <row r="476" spans="1:2" x14ac:dyDescent="0.25">
      <c r="A476" s="2">
        <f>+WORKDAY(A475,1,Feriados!$A$2:$A$38)</f>
        <v>46378</v>
      </c>
      <c r="B476" s="3">
        <f>+IFERROR(VLOOKUP(A476,[2]Variables!$P:$Q,2,0),B475)</f>
        <v>869.63668201313999</v>
      </c>
    </row>
    <row r="477" spans="1:2" x14ac:dyDescent="0.25">
      <c r="A477" s="2">
        <f>+WORKDAY(A476,1,Feriados!$A$2:$A$38)</f>
        <v>46379</v>
      </c>
      <c r="B477" s="3">
        <f>+IFERROR(VLOOKUP(A477,[2]Variables!$P:$Q,2,0),B476)</f>
        <v>869.63668201313999</v>
      </c>
    </row>
    <row r="478" spans="1:2" x14ac:dyDescent="0.25">
      <c r="A478" s="2">
        <f>+WORKDAY(A477,1,Feriados!$A$2:$A$38)</f>
        <v>46380</v>
      </c>
      <c r="B478" s="3">
        <f>+IFERROR(VLOOKUP(A478,[2]Variables!$P:$Q,2,0),B477)</f>
        <v>869.63668201313999</v>
      </c>
    </row>
    <row r="479" spans="1:2" x14ac:dyDescent="0.25">
      <c r="A479" s="2">
        <f>+WORKDAY(A478,1,Feriados!$A$2:$A$38)</f>
        <v>46384</v>
      </c>
      <c r="B479" s="3">
        <f>+IFERROR(VLOOKUP(A479,[2]Variables!$P:$Q,2,0),B478)</f>
        <v>869.63668201313999</v>
      </c>
    </row>
    <row r="480" spans="1:2" x14ac:dyDescent="0.25">
      <c r="A480" s="2">
        <f>+WORKDAY(A479,1,Feriados!$A$2:$A$38)</f>
        <v>46385</v>
      </c>
      <c r="B480" s="3">
        <f>+IFERROR(VLOOKUP(A480,[2]Variables!$P:$Q,2,0),B479)</f>
        <v>869.63668201313999</v>
      </c>
    </row>
    <row r="481" spans="1:2" x14ac:dyDescent="0.25">
      <c r="A481" s="2">
        <f>+WORKDAY(A480,1,Feriados!$A$2:$A$38)</f>
        <v>46386</v>
      </c>
      <c r="B481" s="3">
        <f>+IFERROR(VLOOKUP(A481,[2]Variables!$P:$Q,2,0),B480)</f>
        <v>869.63668201313999</v>
      </c>
    </row>
    <row r="482" spans="1:2" x14ac:dyDescent="0.25">
      <c r="A482" s="2">
        <f>+WORKDAY(A481,1,Feriados!$A$2:$A$38)</f>
        <v>46387</v>
      </c>
      <c r="B482" s="3">
        <f>+IFERROR(VLOOKUP(A482,[2]Variables!$P:$Q,2,0),B481)</f>
        <v>869.63668201313999</v>
      </c>
    </row>
    <row r="483" spans="1:2" x14ac:dyDescent="0.25">
      <c r="A483" s="2">
        <f>+WORKDAY(A482,1,Feriados!$A$2:$A$38)</f>
        <v>46388</v>
      </c>
      <c r="B483" s="3">
        <f>+IFERROR(VLOOKUP(A483,[2]Variables!$P:$Q,2,0),B482)</f>
        <v>869.63668201313999</v>
      </c>
    </row>
    <row r="484" spans="1:2" x14ac:dyDescent="0.25">
      <c r="A484" s="2">
        <f>+WORKDAY(A483,1,Feriados!$A$2:$A$38)</f>
        <v>46391</v>
      </c>
      <c r="B484" s="3">
        <f>+IFERROR(VLOOKUP(A484,[2]Variables!$P:$Q,2,0),B483)</f>
        <v>869.63668201313999</v>
      </c>
    </row>
    <row r="485" spans="1:2" x14ac:dyDescent="0.25">
      <c r="A485" s="2">
        <f>+WORKDAY(A484,1,Feriados!$A$2:$A$38)</f>
        <v>46392</v>
      </c>
      <c r="B485" s="3">
        <f>+IFERROR(VLOOKUP(A485,[2]Variables!$P:$Q,2,0),B484)</f>
        <v>869.63668201313999</v>
      </c>
    </row>
    <row r="486" spans="1:2" x14ac:dyDescent="0.25">
      <c r="A486" s="2">
        <f>+WORKDAY(A485,1,Feriados!$A$2:$A$38)</f>
        <v>46393</v>
      </c>
      <c r="B486" s="3">
        <f>+IFERROR(VLOOKUP(A486,[2]Variables!$P:$Q,2,0),B485)</f>
        <v>869.63668201313999</v>
      </c>
    </row>
    <row r="487" spans="1:2" x14ac:dyDescent="0.25">
      <c r="A487" s="2">
        <f>+WORKDAY(A486,1,Feriados!$A$2:$A$38)</f>
        <v>46394</v>
      </c>
      <c r="B487" s="3">
        <f>+IFERROR(VLOOKUP(A487,[2]Variables!$P:$Q,2,0),B486)</f>
        <v>869.63668201313999</v>
      </c>
    </row>
    <row r="488" spans="1:2" x14ac:dyDescent="0.25">
      <c r="A488" s="2">
        <f>+WORKDAY(A487,1,Feriados!$A$2:$A$38)</f>
        <v>46395</v>
      </c>
      <c r="B488" s="3">
        <f>+IFERROR(VLOOKUP(A488,[2]Variables!$P:$Q,2,0),B487)</f>
        <v>869.63668201313999</v>
      </c>
    </row>
    <row r="489" spans="1:2" x14ac:dyDescent="0.25">
      <c r="A489" s="2">
        <f>+WORKDAY(A488,1,Feriados!$A$2:$A$38)</f>
        <v>46398</v>
      </c>
      <c r="B489" s="3">
        <f>+IFERROR(VLOOKUP(A489,[2]Variables!$P:$Q,2,0),B488)</f>
        <v>869.63668201313999</v>
      </c>
    </row>
    <row r="490" spans="1:2" x14ac:dyDescent="0.25">
      <c r="A490" s="2">
        <f>+WORKDAY(A489,1,Feriados!$A$2:$A$38)</f>
        <v>46399</v>
      </c>
      <c r="B490" s="3">
        <f>+IFERROR(VLOOKUP(A490,[2]Variables!$P:$Q,2,0),B489)</f>
        <v>869.63668201313999</v>
      </c>
    </row>
    <row r="491" spans="1:2" x14ac:dyDescent="0.25">
      <c r="A491" s="2">
        <f>+WORKDAY(A490,1,Feriados!$A$2:$A$38)</f>
        <v>46400</v>
      </c>
      <c r="B491" s="3">
        <f>+IFERROR(VLOOKUP(A491,[2]Variables!$P:$Q,2,0),B490)</f>
        <v>869.63668201313999</v>
      </c>
    </row>
    <row r="492" spans="1:2" x14ac:dyDescent="0.25">
      <c r="A492" s="2">
        <f>+WORKDAY(A491,1,Feriados!$A$2:$A$38)</f>
        <v>46401</v>
      </c>
      <c r="B492" s="3">
        <f>+IFERROR(VLOOKUP(A492,[2]Variables!$P:$Q,2,0),B491)</f>
        <v>869.63668201313999</v>
      </c>
    </row>
    <row r="493" spans="1:2" x14ac:dyDescent="0.25">
      <c r="A493" s="2">
        <f>+WORKDAY(A492,1,Feriados!$A$2:$A$38)</f>
        <v>46402</v>
      </c>
      <c r="B493" s="3">
        <f>+IFERROR(VLOOKUP(A493,[2]Variables!$P:$Q,2,0),B492)</f>
        <v>869.63668201313999</v>
      </c>
    </row>
    <row r="494" spans="1:2" x14ac:dyDescent="0.25">
      <c r="A494" s="2">
        <f>+WORKDAY(A493,1,Feriados!$A$2:$A$38)</f>
        <v>46405</v>
      </c>
      <c r="B494" s="3">
        <f>+IFERROR(VLOOKUP(A494,[2]Variables!$P:$Q,2,0),B493)</f>
        <v>869.63668201313999</v>
      </c>
    </row>
    <row r="495" spans="1:2" x14ac:dyDescent="0.25">
      <c r="A495" s="2">
        <f>+WORKDAY(A494,1,Feriados!$A$2:$A$38)</f>
        <v>46406</v>
      </c>
      <c r="B495" s="3">
        <f>+IFERROR(VLOOKUP(A495,[2]Variables!$P:$Q,2,0),B494)</f>
        <v>869.63668201313999</v>
      </c>
    </row>
    <row r="496" spans="1:2" x14ac:dyDescent="0.25">
      <c r="A496" s="2">
        <f>+WORKDAY(A495,1,Feriados!$A$2:$A$38)</f>
        <v>46407</v>
      </c>
      <c r="B496" s="3">
        <f>+IFERROR(VLOOKUP(A496,[2]Variables!$P:$Q,2,0),B495)</f>
        <v>869.63668201313999</v>
      </c>
    </row>
    <row r="497" spans="1:2" x14ac:dyDescent="0.25">
      <c r="A497" s="2">
        <f>+WORKDAY(A496,1,Feriados!$A$2:$A$38)</f>
        <v>46408</v>
      </c>
      <c r="B497" s="3">
        <f>+IFERROR(VLOOKUP(A497,[2]Variables!$P:$Q,2,0),B496)</f>
        <v>869.63668201313999</v>
      </c>
    </row>
    <row r="498" spans="1:2" x14ac:dyDescent="0.25">
      <c r="A498" s="2">
        <f>+WORKDAY(A497,1,Feriados!$A$2:$A$38)</f>
        <v>46409</v>
      </c>
      <c r="B498" s="3">
        <f>+IFERROR(VLOOKUP(A498,[2]Variables!$P:$Q,2,0),B497)</f>
        <v>869.63668201313999</v>
      </c>
    </row>
    <row r="499" spans="1:2" x14ac:dyDescent="0.25">
      <c r="A499" s="2">
        <f>+WORKDAY(A498,1,Feriados!$A$2:$A$38)</f>
        <v>46412</v>
      </c>
      <c r="B499" s="3">
        <f>+IFERROR(VLOOKUP(A499,[2]Variables!$P:$Q,2,0),B498)</f>
        <v>869.63668201313999</v>
      </c>
    </row>
    <row r="500" spans="1:2" x14ac:dyDescent="0.25">
      <c r="A500" s="2">
        <f>+WORKDAY(A499,1,Feriados!$A$2:$A$38)</f>
        <v>46413</v>
      </c>
      <c r="B500" s="3">
        <f>+IFERROR(VLOOKUP(A500,[2]Variables!$P:$Q,2,0),B499)</f>
        <v>869.63668201313999</v>
      </c>
    </row>
    <row r="501" spans="1:2" x14ac:dyDescent="0.25">
      <c r="A501" s="2">
        <f>+WORKDAY(A500,1,Feriados!$A$2:$A$38)</f>
        <v>46414</v>
      </c>
      <c r="B501" s="3">
        <f>+IFERROR(VLOOKUP(A501,[2]Variables!$P:$Q,2,0),B500)</f>
        <v>869.63668201313999</v>
      </c>
    </row>
    <row r="502" spans="1:2" x14ac:dyDescent="0.25">
      <c r="A502" s="2">
        <f>+WORKDAY(A501,1,Feriados!$A$2:$A$38)</f>
        <v>46415</v>
      </c>
      <c r="B502" s="3">
        <f>+IFERROR(VLOOKUP(A502,[2]Variables!$P:$Q,2,0),B501)</f>
        <v>869.63668201313999</v>
      </c>
    </row>
    <row r="503" spans="1:2" x14ac:dyDescent="0.25">
      <c r="A503" s="2">
        <f>+WORKDAY(A502,1,Feriados!$A$2:$A$38)</f>
        <v>46416</v>
      </c>
      <c r="B503" s="3">
        <f>+IFERROR(VLOOKUP(A503,[2]Variables!$P:$Q,2,0),B502)</f>
        <v>869.63668201313999</v>
      </c>
    </row>
    <row r="504" spans="1:2" x14ac:dyDescent="0.25">
      <c r="A504" s="2">
        <f>+WORKDAY(A503,1,Feriados!$A$2:$A$38)</f>
        <v>46419</v>
      </c>
      <c r="B504" s="3">
        <f>+IFERROR(VLOOKUP(A504,[2]Variables!$P:$Q,2,0),B503)</f>
        <v>869.63668201313999</v>
      </c>
    </row>
    <row r="505" spans="1:2" x14ac:dyDescent="0.25">
      <c r="A505" s="2">
        <f>+WORKDAY(A504,1,Feriados!$A$2:$A$38)</f>
        <v>46420</v>
      </c>
      <c r="B505" s="3">
        <f>+IFERROR(VLOOKUP(A505,[2]Variables!$P:$Q,2,0),B504)</f>
        <v>869.63668201313999</v>
      </c>
    </row>
    <row r="506" spans="1:2" x14ac:dyDescent="0.25">
      <c r="A506" s="2">
        <f>+WORKDAY(A505,1,Feriados!$A$2:$A$38)</f>
        <v>46421</v>
      </c>
      <c r="B506" s="3">
        <f>+IFERROR(VLOOKUP(A506,[2]Variables!$P:$Q,2,0),B505)</f>
        <v>869.63668201313999</v>
      </c>
    </row>
    <row r="507" spans="1:2" x14ac:dyDescent="0.25">
      <c r="A507" s="2">
        <f>+WORKDAY(A506,1,Feriados!$A$2:$A$38)</f>
        <v>46422</v>
      </c>
      <c r="B507" s="3">
        <f>+IFERROR(VLOOKUP(A507,[2]Variables!$P:$Q,2,0),B506)</f>
        <v>869.63668201313999</v>
      </c>
    </row>
    <row r="508" spans="1:2" x14ac:dyDescent="0.25">
      <c r="A508" s="2">
        <f>+WORKDAY(A507,1,Feriados!$A$2:$A$38)</f>
        <v>46423</v>
      </c>
      <c r="B508" s="3">
        <f>+IFERROR(VLOOKUP(A508,[2]Variables!$P:$Q,2,0),B507)</f>
        <v>869.63668201313999</v>
      </c>
    </row>
    <row r="509" spans="1:2" x14ac:dyDescent="0.25">
      <c r="A509" s="2">
        <f>+WORKDAY(A508,1,Feriados!$A$2:$A$38)</f>
        <v>46426</v>
      </c>
      <c r="B509" s="3">
        <f>+IFERROR(VLOOKUP(A509,[2]Variables!$P:$Q,2,0),B508)</f>
        <v>869.63668201313999</v>
      </c>
    </row>
    <row r="510" spans="1:2" x14ac:dyDescent="0.25">
      <c r="A510" s="2">
        <f>+WORKDAY(A509,1,Feriados!$A$2:$A$38)</f>
        <v>46427</v>
      </c>
      <c r="B510" s="3">
        <f>+IFERROR(VLOOKUP(A510,[2]Variables!$P:$Q,2,0),B509)</f>
        <v>869.63668201313999</v>
      </c>
    </row>
    <row r="511" spans="1:2" x14ac:dyDescent="0.25">
      <c r="A511" s="2">
        <f>+WORKDAY(A510,1,Feriados!$A$2:$A$38)</f>
        <v>46428</v>
      </c>
      <c r="B511" s="3">
        <f>+IFERROR(VLOOKUP(A511,[2]Variables!$P:$Q,2,0),B510)</f>
        <v>869.63668201313999</v>
      </c>
    </row>
    <row r="512" spans="1:2" x14ac:dyDescent="0.25">
      <c r="A512" s="2">
        <f>+WORKDAY(A511,1,Feriados!$A$2:$A$38)</f>
        <v>46429</v>
      </c>
      <c r="B512" s="3">
        <f>+IFERROR(VLOOKUP(A512,[2]Variables!$P:$Q,2,0),B511)</f>
        <v>869.63668201313999</v>
      </c>
    </row>
    <row r="513" spans="1:2" x14ac:dyDescent="0.25">
      <c r="A513" s="2">
        <f>+WORKDAY(A512,1,Feriados!$A$2:$A$38)</f>
        <v>46430</v>
      </c>
      <c r="B513" s="3">
        <f>+IFERROR(VLOOKUP(A513,[2]Variables!$P:$Q,2,0),B512)</f>
        <v>869.63668201313999</v>
      </c>
    </row>
    <row r="514" spans="1:2" x14ac:dyDescent="0.25">
      <c r="A514" s="2">
        <f>+WORKDAY(A513,1,Feriados!$A$2:$A$38)</f>
        <v>46433</v>
      </c>
      <c r="B514" s="3">
        <f>+IFERROR(VLOOKUP(A514,[2]Variables!$P:$Q,2,0),B513)</f>
        <v>869.63668201313999</v>
      </c>
    </row>
    <row r="515" spans="1:2" x14ac:dyDescent="0.25">
      <c r="A515" s="2">
        <f>+WORKDAY(A514,1,Feriados!$A$2:$A$38)</f>
        <v>46434</v>
      </c>
      <c r="B515" s="3">
        <f>+IFERROR(VLOOKUP(A515,[2]Variables!$P:$Q,2,0),B514)</f>
        <v>869.63668201313999</v>
      </c>
    </row>
    <row r="516" spans="1:2" x14ac:dyDescent="0.25">
      <c r="A516" s="2">
        <f>+WORKDAY(A515,1,Feriados!$A$2:$A$38)</f>
        <v>46435</v>
      </c>
      <c r="B516" s="3">
        <f>+IFERROR(VLOOKUP(A516,[2]Variables!$P:$Q,2,0),B515)</f>
        <v>869.63668201313999</v>
      </c>
    </row>
    <row r="517" spans="1:2" x14ac:dyDescent="0.25">
      <c r="A517" s="2">
        <f>+WORKDAY(A516,1,Feriados!$A$2:$A$38)</f>
        <v>46436</v>
      </c>
      <c r="B517" s="3">
        <f>+IFERROR(VLOOKUP(A517,[2]Variables!$P:$Q,2,0),B516)</f>
        <v>869.63668201313999</v>
      </c>
    </row>
    <row r="518" spans="1:2" x14ac:dyDescent="0.25">
      <c r="A518" s="2">
        <f>+WORKDAY(A517,1,Feriados!$A$2:$A$38)</f>
        <v>46437</v>
      </c>
      <c r="B518" s="3">
        <f>+IFERROR(VLOOKUP(A518,[2]Variables!$P:$Q,2,0),B517)</f>
        <v>869.63668201313999</v>
      </c>
    </row>
    <row r="519" spans="1:2" x14ac:dyDescent="0.25">
      <c r="A519" s="2">
        <f>+WORKDAY(A518,1,Feriados!$A$2:$A$38)</f>
        <v>46440</v>
      </c>
      <c r="B519" s="3">
        <f>+IFERROR(VLOOKUP(A519,[2]Variables!$P:$Q,2,0),B518)</f>
        <v>869.63668201313999</v>
      </c>
    </row>
    <row r="520" spans="1:2" x14ac:dyDescent="0.25">
      <c r="A520" s="2">
        <f>+WORKDAY(A519,1,Feriados!$A$2:$A$38)</f>
        <v>46441</v>
      </c>
      <c r="B520" s="3">
        <f>+IFERROR(VLOOKUP(A520,[2]Variables!$P:$Q,2,0),B519)</f>
        <v>869.63668201313999</v>
      </c>
    </row>
    <row r="521" spans="1:2" x14ac:dyDescent="0.25">
      <c r="A521" s="2">
        <f>+WORKDAY(A520,1,Feriados!$A$2:$A$38)</f>
        <v>46442</v>
      </c>
      <c r="B521" s="3">
        <f>+IFERROR(VLOOKUP(A521,[2]Variables!$P:$Q,2,0),B520)</f>
        <v>869.63668201313999</v>
      </c>
    </row>
    <row r="522" spans="1:2" x14ac:dyDescent="0.25">
      <c r="A522" s="2">
        <f>+WORKDAY(A521,1,Feriados!$A$2:$A$38)</f>
        <v>46443</v>
      </c>
      <c r="B522" s="3">
        <f>+IFERROR(VLOOKUP(A522,[2]Variables!$P:$Q,2,0),B521)</f>
        <v>869.63668201313999</v>
      </c>
    </row>
    <row r="523" spans="1:2" x14ac:dyDescent="0.25">
      <c r="A523" s="2">
        <f>+WORKDAY(A522,1,Feriados!$A$2:$A$38)</f>
        <v>46444</v>
      </c>
      <c r="B523" s="3">
        <f>+IFERROR(VLOOKUP(A523,[2]Variables!$P:$Q,2,0),B522)</f>
        <v>869.63668201313999</v>
      </c>
    </row>
    <row r="524" spans="1:2" x14ac:dyDescent="0.25">
      <c r="A524" s="2">
        <f>+WORKDAY(A523,1,Feriados!$A$2:$A$38)</f>
        <v>46447</v>
      </c>
      <c r="B524" s="3">
        <f>+IFERROR(VLOOKUP(A524,[2]Variables!$P:$Q,2,0),B523)</f>
        <v>869.63668201313999</v>
      </c>
    </row>
    <row r="525" spans="1:2" x14ac:dyDescent="0.25">
      <c r="A525" s="2">
        <f>+WORKDAY(A524,1,Feriados!$A$2:$A$38)</f>
        <v>46448</v>
      </c>
      <c r="B525" s="3">
        <f>+IFERROR(VLOOKUP(A525,[2]Variables!$P:$Q,2,0),B524)</f>
        <v>869.63668201313999</v>
      </c>
    </row>
    <row r="526" spans="1:2" x14ac:dyDescent="0.25">
      <c r="A526" s="2">
        <f>+WORKDAY(A525,1,Feriados!$A$2:$A$38)</f>
        <v>46449</v>
      </c>
      <c r="B526" s="3">
        <f>+IFERROR(VLOOKUP(A526,[2]Variables!$P:$Q,2,0),B525)</f>
        <v>869.63668201313999</v>
      </c>
    </row>
    <row r="527" spans="1:2" x14ac:dyDescent="0.25">
      <c r="A527" s="2">
        <f>+WORKDAY(A526,1,Feriados!$A$2:$A$38)</f>
        <v>46450</v>
      </c>
      <c r="B527" s="3">
        <f>+IFERROR(VLOOKUP(A527,[2]Variables!$P:$Q,2,0),B526)</f>
        <v>869.63668201313999</v>
      </c>
    </row>
    <row r="528" spans="1:2" x14ac:dyDescent="0.25">
      <c r="A528" s="2">
        <f>+WORKDAY(A527,1,Feriados!$A$2:$A$38)</f>
        <v>46451</v>
      </c>
      <c r="B528" s="3">
        <f>+IFERROR(VLOOKUP(A528,[2]Variables!$P:$Q,2,0),B527)</f>
        <v>869.63668201313999</v>
      </c>
    </row>
    <row r="529" spans="1:2" x14ac:dyDescent="0.25">
      <c r="A529" s="2">
        <f>+WORKDAY(A528,1,Feriados!$A$2:$A$38)</f>
        <v>46454</v>
      </c>
      <c r="B529" s="3">
        <f>+IFERROR(VLOOKUP(A529,[2]Variables!$P:$Q,2,0),B528)</f>
        <v>869.63668201313999</v>
      </c>
    </row>
    <row r="530" spans="1:2" x14ac:dyDescent="0.25">
      <c r="A530" s="2">
        <f>+WORKDAY(A529,1,Feriados!$A$2:$A$38)</f>
        <v>46455</v>
      </c>
      <c r="B530" s="3">
        <f>+IFERROR(VLOOKUP(A530,[2]Variables!$P:$Q,2,0),B529)</f>
        <v>869.63668201313999</v>
      </c>
    </row>
    <row r="531" spans="1:2" x14ac:dyDescent="0.25">
      <c r="A531" s="2">
        <f>+WORKDAY(A530,1,Feriados!$A$2:$A$38)</f>
        <v>46456</v>
      </c>
      <c r="B531" s="3">
        <f>+IFERROR(VLOOKUP(A531,[2]Variables!$P:$Q,2,0),B530)</f>
        <v>869.63668201313999</v>
      </c>
    </row>
    <row r="532" spans="1:2" x14ac:dyDescent="0.25">
      <c r="A532" s="2">
        <f>+WORKDAY(A531,1,Feriados!$A$2:$A$38)</f>
        <v>46457</v>
      </c>
      <c r="B532" s="3">
        <f>+IFERROR(VLOOKUP(A532,[2]Variables!$P:$Q,2,0),B531)</f>
        <v>869.63668201313999</v>
      </c>
    </row>
    <row r="533" spans="1:2" x14ac:dyDescent="0.25">
      <c r="A533" s="2">
        <f>+WORKDAY(A532,1,Feriados!$A$2:$A$38)</f>
        <v>46458</v>
      </c>
      <c r="B533" s="3">
        <f>+IFERROR(VLOOKUP(A533,[2]Variables!$P:$Q,2,0),B532)</f>
        <v>869.63668201313999</v>
      </c>
    </row>
    <row r="534" spans="1:2" x14ac:dyDescent="0.25">
      <c r="A534" s="2">
        <f>+WORKDAY(A533,1,Feriados!$A$2:$A$38)</f>
        <v>46461</v>
      </c>
      <c r="B534" s="3">
        <f>+IFERROR(VLOOKUP(A534,[2]Variables!$P:$Q,2,0),B533)</f>
        <v>869.63668201313999</v>
      </c>
    </row>
    <row r="535" spans="1:2" x14ac:dyDescent="0.25">
      <c r="A535" s="2">
        <f>+WORKDAY(A534,1,Feriados!$A$2:$A$38)</f>
        <v>46462</v>
      </c>
      <c r="B535" s="3">
        <f>+IFERROR(VLOOKUP(A535,[2]Variables!$P:$Q,2,0),B534)</f>
        <v>869.63668201313999</v>
      </c>
    </row>
    <row r="536" spans="1:2" x14ac:dyDescent="0.25">
      <c r="A536" s="2">
        <f>+WORKDAY(A535,1,Feriados!$A$2:$A$38)</f>
        <v>46463</v>
      </c>
      <c r="B536" s="3">
        <f>+IFERROR(VLOOKUP(A536,[2]Variables!$P:$Q,2,0),B535)</f>
        <v>869.63668201313999</v>
      </c>
    </row>
    <row r="537" spans="1:2" x14ac:dyDescent="0.25">
      <c r="A537" s="2">
        <f>+WORKDAY(A536,1,Feriados!$A$2:$A$38)</f>
        <v>46464</v>
      </c>
      <c r="B537" s="3">
        <f>+IFERROR(VLOOKUP(A537,[2]Variables!$P:$Q,2,0),B536)</f>
        <v>869.63668201313999</v>
      </c>
    </row>
    <row r="538" spans="1:2" x14ac:dyDescent="0.25">
      <c r="A538" s="2">
        <f>+WORKDAY(A537,1,Feriados!$A$2:$A$38)</f>
        <v>46465</v>
      </c>
      <c r="B538" s="3">
        <f>+IFERROR(VLOOKUP(A538,[2]Variables!$P:$Q,2,0),B537)</f>
        <v>869.63668201313999</v>
      </c>
    </row>
    <row r="539" spans="1:2" x14ac:dyDescent="0.25">
      <c r="A539" s="2">
        <f>+WORKDAY(A538,1,Feriados!$A$2:$A$38)</f>
        <v>46468</v>
      </c>
      <c r="B539" s="3">
        <f>+IFERROR(VLOOKUP(A539,[2]Variables!$P:$Q,2,0),B538)</f>
        <v>869.63668201313999</v>
      </c>
    </row>
    <row r="540" spans="1:2" x14ac:dyDescent="0.25">
      <c r="A540" s="2">
        <f>+WORKDAY(A539,1,Feriados!$A$2:$A$38)</f>
        <v>46469</v>
      </c>
      <c r="B540" s="3">
        <f>+IFERROR(VLOOKUP(A540,[2]Variables!$P:$Q,2,0),B539)</f>
        <v>869.63668201313999</v>
      </c>
    </row>
    <row r="541" spans="1:2" x14ac:dyDescent="0.25">
      <c r="A541" s="2">
        <f>+WORKDAY(A540,1,Feriados!$A$2:$A$38)</f>
        <v>46470</v>
      </c>
      <c r="B541" s="3">
        <f>+IFERROR(VLOOKUP(A541,[2]Variables!$P:$Q,2,0),B540)</f>
        <v>869.63668201313999</v>
      </c>
    </row>
    <row r="542" spans="1:2" x14ac:dyDescent="0.25">
      <c r="A542" s="2">
        <f>+WORKDAY(A541,1,Feriados!$A$2:$A$38)</f>
        <v>46471</v>
      </c>
      <c r="B542" s="3">
        <f>+IFERROR(VLOOKUP(A542,[2]Variables!$P:$Q,2,0),B541)</f>
        <v>869.63668201313999</v>
      </c>
    </row>
    <row r="543" spans="1:2" x14ac:dyDescent="0.25">
      <c r="A543" s="2">
        <f>+WORKDAY(A542,1,Feriados!$A$2:$A$38)</f>
        <v>46472</v>
      </c>
      <c r="B543" s="3">
        <f>+IFERROR(VLOOKUP(A543,[2]Variables!$P:$Q,2,0),B542)</f>
        <v>869.63668201313999</v>
      </c>
    </row>
    <row r="544" spans="1:2" x14ac:dyDescent="0.25">
      <c r="A544" s="2">
        <f>+WORKDAY(A543,1,Feriados!$A$2:$A$38)</f>
        <v>46475</v>
      </c>
      <c r="B544" s="3">
        <f>+IFERROR(VLOOKUP(A544,[2]Variables!$P:$Q,2,0),B543)</f>
        <v>869.63668201313999</v>
      </c>
    </row>
    <row r="545" spans="1:2" x14ac:dyDescent="0.25">
      <c r="A545" s="2">
        <f>+WORKDAY(A544,1,Feriados!$A$2:$A$38)</f>
        <v>46476</v>
      </c>
      <c r="B545" s="3">
        <f>+IFERROR(VLOOKUP(A545,[2]Variables!$P:$Q,2,0),B544)</f>
        <v>869.63668201313999</v>
      </c>
    </row>
    <row r="546" spans="1:2" x14ac:dyDescent="0.25">
      <c r="A546" s="2">
        <f>+WORKDAY(A545,1,Feriados!$A$2:$A$38)</f>
        <v>46477</v>
      </c>
      <c r="B546" s="3">
        <f>+IFERROR(VLOOKUP(A546,[2]Variables!$P:$Q,2,0),B545)</f>
        <v>869.63668201313999</v>
      </c>
    </row>
    <row r="547" spans="1:2" x14ac:dyDescent="0.25">
      <c r="A547" s="2">
        <f>+WORKDAY(A546,1,Feriados!$A$2:$A$38)</f>
        <v>46478</v>
      </c>
      <c r="B547" s="3">
        <f>+IFERROR(VLOOKUP(A547,[2]Variables!$P:$Q,2,0),B546)</f>
        <v>869.63668201313999</v>
      </c>
    </row>
    <row r="548" spans="1:2" x14ac:dyDescent="0.25">
      <c r="A548" s="2">
        <f>+WORKDAY(A547,1,Feriados!$A$2:$A$38)</f>
        <v>46479</v>
      </c>
      <c r="B548" s="3">
        <f>+IFERROR(VLOOKUP(A548,[2]Variables!$P:$Q,2,0),B547)</f>
        <v>869.63668201313999</v>
      </c>
    </row>
    <row r="549" spans="1:2" x14ac:dyDescent="0.25">
      <c r="A549" s="2">
        <f>+WORKDAY(A548,1,Feriados!$A$2:$A$38)</f>
        <v>46482</v>
      </c>
      <c r="B549" s="3">
        <f>+IFERROR(VLOOKUP(A549,[2]Variables!$P:$Q,2,0),B548)</f>
        <v>869.63668201313999</v>
      </c>
    </row>
    <row r="550" spans="1:2" x14ac:dyDescent="0.25">
      <c r="A550" s="2">
        <f>+WORKDAY(A549,1,Feriados!$A$2:$A$38)</f>
        <v>46483</v>
      </c>
      <c r="B550" s="3">
        <f>+IFERROR(VLOOKUP(A550,[2]Variables!$P:$Q,2,0),B549)</f>
        <v>869.63668201313999</v>
      </c>
    </row>
    <row r="551" spans="1:2" x14ac:dyDescent="0.25">
      <c r="A551" s="2">
        <f>+WORKDAY(A550,1,Feriados!$A$2:$A$38)</f>
        <v>46484</v>
      </c>
      <c r="B551" s="3">
        <f>+IFERROR(VLOOKUP(A551,[2]Variables!$P:$Q,2,0),B550)</f>
        <v>869.63668201313999</v>
      </c>
    </row>
    <row r="552" spans="1:2" x14ac:dyDescent="0.25">
      <c r="A552" s="2">
        <f>+WORKDAY(A551,1,Feriados!$A$2:$A$38)</f>
        <v>46485</v>
      </c>
      <c r="B552" s="3">
        <f>+IFERROR(VLOOKUP(A552,[2]Variables!$P:$Q,2,0),B551)</f>
        <v>869.63668201313999</v>
      </c>
    </row>
    <row r="553" spans="1:2" x14ac:dyDescent="0.25">
      <c r="A553" s="2">
        <f>+WORKDAY(A552,1,Feriados!$A$2:$A$38)</f>
        <v>46486</v>
      </c>
      <c r="B553" s="3">
        <f>+IFERROR(VLOOKUP(A553,[2]Variables!$P:$Q,2,0),B552)</f>
        <v>869.63668201313999</v>
      </c>
    </row>
    <row r="554" spans="1:2" x14ac:dyDescent="0.25">
      <c r="A554" s="2">
        <f>+WORKDAY(A553,1,Feriados!$A$2:$A$38)</f>
        <v>46489</v>
      </c>
      <c r="B554" s="3">
        <f>+IFERROR(VLOOKUP(A554,[2]Variables!$P:$Q,2,0),B553)</f>
        <v>869.63668201313999</v>
      </c>
    </row>
    <row r="555" spans="1:2" x14ac:dyDescent="0.25">
      <c r="A555" s="2">
        <f>+WORKDAY(A554,1,Feriados!$A$2:$A$38)</f>
        <v>46490</v>
      </c>
      <c r="B555" s="3">
        <f>+IFERROR(VLOOKUP(A555,[2]Variables!$P:$Q,2,0),B554)</f>
        <v>869.63668201313999</v>
      </c>
    </row>
    <row r="556" spans="1:2" x14ac:dyDescent="0.25">
      <c r="A556" s="2">
        <f>+WORKDAY(A555,1,Feriados!$A$2:$A$38)</f>
        <v>46491</v>
      </c>
      <c r="B556" s="3">
        <f>+IFERROR(VLOOKUP(A556,[2]Variables!$P:$Q,2,0),B555)</f>
        <v>869.63668201313999</v>
      </c>
    </row>
    <row r="557" spans="1:2" x14ac:dyDescent="0.25">
      <c r="A557" s="2">
        <f>+WORKDAY(A556,1,Feriados!$A$2:$A$38)</f>
        <v>46492</v>
      </c>
      <c r="B557" s="3">
        <f>+IFERROR(VLOOKUP(A557,[2]Variables!$P:$Q,2,0),B556)</f>
        <v>869.63668201313999</v>
      </c>
    </row>
    <row r="558" spans="1:2" x14ac:dyDescent="0.25">
      <c r="A558" s="2">
        <f>+WORKDAY(A557,1,Feriados!$A$2:$A$38)</f>
        <v>46493</v>
      </c>
      <c r="B558" s="3">
        <f>+IFERROR(VLOOKUP(A558,[2]Variables!$P:$Q,2,0),B557)</f>
        <v>869.63668201313999</v>
      </c>
    </row>
    <row r="559" spans="1:2" x14ac:dyDescent="0.25">
      <c r="A559" s="2">
        <f>+WORKDAY(A558,1,Feriados!$A$2:$A$38)</f>
        <v>46496</v>
      </c>
      <c r="B559" s="3">
        <f>+IFERROR(VLOOKUP(A559,[2]Variables!$P:$Q,2,0),B558)</f>
        <v>869.63668201313999</v>
      </c>
    </row>
    <row r="560" spans="1:2" x14ac:dyDescent="0.25">
      <c r="A560" s="2">
        <f>+WORKDAY(A559,1,Feriados!$A$2:$A$38)</f>
        <v>46497</v>
      </c>
      <c r="B560" s="3">
        <f>+IFERROR(VLOOKUP(A560,[2]Variables!$P:$Q,2,0),B559)</f>
        <v>869.63668201313999</v>
      </c>
    </row>
    <row r="561" spans="1:2" x14ac:dyDescent="0.25">
      <c r="A561" s="2">
        <f>+WORKDAY(A560,1,Feriados!$A$2:$A$38)</f>
        <v>46498</v>
      </c>
      <c r="B561" s="3">
        <f>+IFERROR(VLOOKUP(A561,[2]Variables!$P:$Q,2,0),B560)</f>
        <v>869.63668201313999</v>
      </c>
    </row>
    <row r="562" spans="1:2" x14ac:dyDescent="0.25">
      <c r="A562" s="2">
        <f>+WORKDAY(A561,1,Feriados!$A$2:$A$38)</f>
        <v>46499</v>
      </c>
      <c r="B562" s="3">
        <f>+IFERROR(VLOOKUP(A562,[2]Variables!$P:$Q,2,0),B561)</f>
        <v>869.63668201313999</v>
      </c>
    </row>
    <row r="563" spans="1:2" x14ac:dyDescent="0.25">
      <c r="A563" s="2">
        <f>+WORKDAY(A562,1,Feriados!$A$2:$A$38)</f>
        <v>46500</v>
      </c>
      <c r="B563" s="3">
        <f>+IFERROR(VLOOKUP(A563,[2]Variables!$P:$Q,2,0),B562)</f>
        <v>869.63668201313999</v>
      </c>
    </row>
    <row r="564" spans="1:2" x14ac:dyDescent="0.25">
      <c r="A564" s="2">
        <f>+WORKDAY(A563,1,Feriados!$A$2:$A$38)</f>
        <v>46503</v>
      </c>
      <c r="B564" s="3">
        <f>+IFERROR(VLOOKUP(A564,[2]Variables!$P:$Q,2,0),B563)</f>
        <v>869.63668201313999</v>
      </c>
    </row>
    <row r="565" spans="1:2" x14ac:dyDescent="0.25">
      <c r="A565" s="2">
        <f>+WORKDAY(A564,1,Feriados!$A$2:$A$38)</f>
        <v>46504</v>
      </c>
      <c r="B565" s="3">
        <f>+IFERROR(VLOOKUP(A565,[2]Variables!$P:$Q,2,0),B564)</f>
        <v>869.63668201313999</v>
      </c>
    </row>
    <row r="566" spans="1:2" x14ac:dyDescent="0.25">
      <c r="A566" s="2">
        <f>+WORKDAY(A565,1,Feriados!$A$2:$A$38)</f>
        <v>46505</v>
      </c>
      <c r="B566" s="3">
        <f>+IFERROR(VLOOKUP(A566,[2]Variables!$P:$Q,2,0),B565)</f>
        <v>869.63668201313999</v>
      </c>
    </row>
    <row r="567" spans="1:2" x14ac:dyDescent="0.25">
      <c r="A567" s="2">
        <f>+WORKDAY(A566,1,Feriados!$A$2:$A$38)</f>
        <v>46506</v>
      </c>
      <c r="B567" s="3">
        <f>+IFERROR(VLOOKUP(A567,[2]Variables!$P:$Q,2,0),B566)</f>
        <v>869.63668201313999</v>
      </c>
    </row>
    <row r="568" spans="1:2" x14ac:dyDescent="0.25">
      <c r="A568" s="2">
        <f>+WORKDAY(A567,1,Feriados!$A$2:$A$38)</f>
        <v>46507</v>
      </c>
      <c r="B568" s="3">
        <f>+IFERROR(VLOOKUP(A568,[2]Variables!$P:$Q,2,0),B567)</f>
        <v>869.63668201313999</v>
      </c>
    </row>
    <row r="569" spans="1:2" x14ac:dyDescent="0.25">
      <c r="A569" s="2">
        <f>+WORKDAY(A568,1,Feriados!$A$2:$A$38)</f>
        <v>46510</v>
      </c>
      <c r="B569" s="3">
        <f>+IFERROR(VLOOKUP(A569,[2]Variables!$P:$Q,2,0),B568)</f>
        <v>869.63668201313999</v>
      </c>
    </row>
    <row r="570" spans="1:2" x14ac:dyDescent="0.25">
      <c r="A570" s="2">
        <f>+WORKDAY(A569,1,Feriados!$A$2:$A$38)</f>
        <v>46511</v>
      </c>
      <c r="B570" s="3">
        <f>+IFERROR(VLOOKUP(A570,[2]Variables!$P:$Q,2,0),B569)</f>
        <v>869.63668201313999</v>
      </c>
    </row>
    <row r="571" spans="1:2" x14ac:dyDescent="0.25">
      <c r="A571" s="2">
        <f>+WORKDAY(A570,1,Feriados!$A$2:$A$38)</f>
        <v>46512</v>
      </c>
      <c r="B571" s="3">
        <f>+IFERROR(VLOOKUP(A571,[2]Variables!$P:$Q,2,0),B570)</f>
        <v>869.63668201313999</v>
      </c>
    </row>
    <row r="572" spans="1:2" x14ac:dyDescent="0.25">
      <c r="A572" s="2">
        <f>+WORKDAY(A571,1,Feriados!$A$2:$A$38)</f>
        <v>46513</v>
      </c>
      <c r="B572" s="3">
        <f>+IFERROR(VLOOKUP(A572,[2]Variables!$P:$Q,2,0),B571)</f>
        <v>869.63668201313999</v>
      </c>
    </row>
    <row r="573" spans="1:2" x14ac:dyDescent="0.25">
      <c r="A573" s="2">
        <f>+WORKDAY(A572,1,Feriados!$A$2:$A$38)</f>
        <v>46514</v>
      </c>
      <c r="B573" s="3">
        <f>+IFERROR(VLOOKUP(A573,[2]Variables!$P:$Q,2,0),B572)</f>
        <v>869.63668201313999</v>
      </c>
    </row>
    <row r="574" spans="1:2" x14ac:dyDescent="0.25">
      <c r="A574" s="2">
        <f>+WORKDAY(A573,1,Feriados!$A$2:$A$38)</f>
        <v>46517</v>
      </c>
      <c r="B574" s="3">
        <f>+IFERROR(VLOOKUP(A574,[2]Variables!$P:$Q,2,0),B573)</f>
        <v>869.63668201313999</v>
      </c>
    </row>
    <row r="575" spans="1:2" x14ac:dyDescent="0.25">
      <c r="A575" s="2">
        <f>+WORKDAY(A574,1,Feriados!$A$2:$A$38)</f>
        <v>46518</v>
      </c>
      <c r="B575" s="3">
        <f>+IFERROR(VLOOKUP(A575,[2]Variables!$P:$Q,2,0),B574)</f>
        <v>869.63668201313999</v>
      </c>
    </row>
    <row r="576" spans="1:2" x14ac:dyDescent="0.25">
      <c r="A576" s="2">
        <f>+WORKDAY(A575,1,Feriados!$A$2:$A$38)</f>
        <v>46519</v>
      </c>
      <c r="B576" s="3">
        <f>+IFERROR(VLOOKUP(A576,[2]Variables!$P:$Q,2,0),B575)</f>
        <v>869.63668201313999</v>
      </c>
    </row>
    <row r="577" spans="1:2" x14ac:dyDescent="0.25">
      <c r="A577" s="2">
        <f>+WORKDAY(A576,1,Feriados!$A$2:$A$38)</f>
        <v>46520</v>
      </c>
      <c r="B577" s="3">
        <f>+IFERROR(VLOOKUP(A577,[2]Variables!$P:$Q,2,0),B576)</f>
        <v>869.63668201313999</v>
      </c>
    </row>
    <row r="578" spans="1:2" x14ac:dyDescent="0.25">
      <c r="A578" s="2">
        <f>+WORKDAY(A577,1,Feriados!$A$2:$A$38)</f>
        <v>46521</v>
      </c>
      <c r="B578" s="3">
        <f>+IFERROR(VLOOKUP(A578,[2]Variables!$P:$Q,2,0),B577)</f>
        <v>869.63668201313999</v>
      </c>
    </row>
    <row r="579" spans="1:2" x14ac:dyDescent="0.25">
      <c r="A579" s="2">
        <f>+WORKDAY(A578,1,Feriados!$A$2:$A$38)</f>
        <v>46524</v>
      </c>
      <c r="B579" s="3">
        <f>+IFERROR(VLOOKUP(A579,[2]Variables!$P:$Q,2,0),B578)</f>
        <v>869.63668201313999</v>
      </c>
    </row>
    <row r="580" spans="1:2" x14ac:dyDescent="0.25">
      <c r="A580" s="2">
        <f>+WORKDAY(A579,1,Feriados!$A$2:$A$38)</f>
        <v>46525</v>
      </c>
      <c r="B580" s="3">
        <f>+IFERROR(VLOOKUP(A580,[2]Variables!$P:$Q,2,0),B579)</f>
        <v>869.63668201313999</v>
      </c>
    </row>
    <row r="581" spans="1:2" x14ac:dyDescent="0.25">
      <c r="A581" s="2">
        <f>+WORKDAY(A580,1,Feriados!$A$2:$A$38)</f>
        <v>46526</v>
      </c>
      <c r="B581" s="3">
        <f>+IFERROR(VLOOKUP(A581,[2]Variables!$P:$Q,2,0),B580)</f>
        <v>869.63668201313999</v>
      </c>
    </row>
    <row r="582" spans="1:2" x14ac:dyDescent="0.25">
      <c r="A582" s="2">
        <f>+WORKDAY(A581,1,Feriados!$A$2:$A$38)</f>
        <v>46527</v>
      </c>
      <c r="B582" s="3">
        <f>+IFERROR(VLOOKUP(A582,[2]Variables!$P:$Q,2,0),B581)</f>
        <v>869.63668201313999</v>
      </c>
    </row>
    <row r="583" spans="1:2" x14ac:dyDescent="0.25">
      <c r="A583" s="2">
        <f>+WORKDAY(A582,1,Feriados!$A$2:$A$38)</f>
        <v>46528</v>
      </c>
      <c r="B583" s="3">
        <f>+IFERROR(VLOOKUP(A583,[2]Variables!$P:$Q,2,0),B582)</f>
        <v>869.63668201313999</v>
      </c>
    </row>
    <row r="584" spans="1:2" x14ac:dyDescent="0.25">
      <c r="A584" s="2">
        <f>+WORKDAY(A583,1,Feriados!$A$2:$A$38)</f>
        <v>46531</v>
      </c>
      <c r="B584" s="3">
        <f>+IFERROR(VLOOKUP(A584,[2]Variables!$P:$Q,2,0),B583)</f>
        <v>869.63668201313999</v>
      </c>
    </row>
    <row r="585" spans="1:2" x14ac:dyDescent="0.25">
      <c r="A585" s="2">
        <f>+WORKDAY(A584,1,Feriados!$A$2:$A$38)</f>
        <v>46532</v>
      </c>
      <c r="B585" s="3">
        <f>+IFERROR(VLOOKUP(A585,[2]Variables!$P:$Q,2,0),B584)</f>
        <v>869.63668201313999</v>
      </c>
    </row>
    <row r="586" spans="1:2" x14ac:dyDescent="0.25">
      <c r="A586" s="2">
        <f>+WORKDAY(A585,1,Feriados!$A$2:$A$38)</f>
        <v>46533</v>
      </c>
      <c r="B586" s="3">
        <f>+IFERROR(VLOOKUP(A586,[2]Variables!$P:$Q,2,0),B585)</f>
        <v>869.63668201313999</v>
      </c>
    </row>
    <row r="587" spans="1:2" x14ac:dyDescent="0.25">
      <c r="A587" s="2">
        <f>+WORKDAY(A586,1,Feriados!$A$2:$A$38)</f>
        <v>46534</v>
      </c>
      <c r="B587" s="3">
        <f>+IFERROR(VLOOKUP(A587,[2]Variables!$P:$Q,2,0),B586)</f>
        <v>869.63668201313999</v>
      </c>
    </row>
    <row r="588" spans="1:2" x14ac:dyDescent="0.25">
      <c r="A588" s="2">
        <f>+WORKDAY(A587,1,Feriados!$A$2:$A$38)</f>
        <v>46535</v>
      </c>
      <c r="B588" s="3">
        <f>+IFERROR(VLOOKUP(A588,[2]Variables!$P:$Q,2,0),B587)</f>
        <v>869.63668201313999</v>
      </c>
    </row>
    <row r="589" spans="1:2" x14ac:dyDescent="0.25">
      <c r="A589" s="2">
        <f>+WORKDAY(A588,1,Feriados!$A$2:$A$38)</f>
        <v>46538</v>
      </c>
      <c r="B589" s="3">
        <f>+IFERROR(VLOOKUP(A589,[2]Variables!$P:$Q,2,0),B588)</f>
        <v>869.63668201313999</v>
      </c>
    </row>
    <row r="590" spans="1:2" x14ac:dyDescent="0.25">
      <c r="A590" s="2">
        <f>+WORKDAY(A589,1,Feriados!$A$2:$A$38)</f>
        <v>46539</v>
      </c>
      <c r="B590" s="3">
        <f>+IFERROR(VLOOKUP(A590,[2]Variables!$P:$Q,2,0),B589)</f>
        <v>869.63668201313999</v>
      </c>
    </row>
    <row r="591" spans="1:2" x14ac:dyDescent="0.25">
      <c r="A591" s="2">
        <f>+WORKDAY(A590,1,Feriados!$A$2:$A$38)</f>
        <v>46540</v>
      </c>
      <c r="B591" s="3">
        <f>+IFERROR(VLOOKUP(A591,[2]Variables!$P:$Q,2,0),B590)</f>
        <v>869.63668201313999</v>
      </c>
    </row>
    <row r="592" spans="1:2" x14ac:dyDescent="0.25">
      <c r="A592" s="2">
        <f>+WORKDAY(A591,1,Feriados!$A$2:$A$38)</f>
        <v>46541</v>
      </c>
      <c r="B592" s="3">
        <f>+IFERROR(VLOOKUP(A592,[2]Variables!$P:$Q,2,0),B591)</f>
        <v>869.63668201313999</v>
      </c>
    </row>
    <row r="593" spans="1:2" x14ac:dyDescent="0.25">
      <c r="A593" s="2">
        <f>+WORKDAY(A592,1,Feriados!$A$2:$A$38)</f>
        <v>46542</v>
      </c>
      <c r="B593" s="3">
        <f>+IFERROR(VLOOKUP(A593,[2]Variables!$P:$Q,2,0),B592)</f>
        <v>869.63668201313999</v>
      </c>
    </row>
    <row r="594" spans="1:2" x14ac:dyDescent="0.25">
      <c r="A594" s="2">
        <f>+WORKDAY(A593,1,Feriados!$A$2:$A$38)</f>
        <v>46545</v>
      </c>
      <c r="B594" s="3">
        <f>+IFERROR(VLOOKUP(A594,[2]Variables!$P:$Q,2,0),B593)</f>
        <v>869.63668201313999</v>
      </c>
    </row>
    <row r="595" spans="1:2" x14ac:dyDescent="0.25">
      <c r="A595" s="2">
        <f>+WORKDAY(A594,1,Feriados!$A$2:$A$38)</f>
        <v>46546</v>
      </c>
      <c r="B595" s="3">
        <f>+IFERROR(VLOOKUP(A595,[2]Variables!$P:$Q,2,0),B594)</f>
        <v>869.63668201313999</v>
      </c>
    </row>
    <row r="596" spans="1:2" x14ac:dyDescent="0.25">
      <c r="A596" s="2">
        <f>+WORKDAY(A595,1,Feriados!$A$2:$A$38)</f>
        <v>46547</v>
      </c>
      <c r="B596" s="3">
        <f>+IFERROR(VLOOKUP(A596,[2]Variables!$P:$Q,2,0),B595)</f>
        <v>869.63668201313999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C24" sqref="C24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+[4]Hoja1!$B31</f>
        <v>46167</v>
      </c>
    </row>
    <row r="3" spans="1:1" x14ac:dyDescent="0.25">
      <c r="A3" s="1">
        <f>+[4]Hoja1!$B32</f>
        <v>46188</v>
      </c>
    </row>
    <row r="4" spans="1:1" x14ac:dyDescent="0.25">
      <c r="A4" s="1">
        <f>+[4]Hoja1!$B33</f>
        <v>46212</v>
      </c>
    </row>
    <row r="5" spans="1:1" x14ac:dyDescent="0.25">
      <c r="A5" s="1">
        <f>+[4]Hoja1!$B34</f>
        <v>46213</v>
      </c>
    </row>
    <row r="6" spans="1:1" x14ac:dyDescent="0.25">
      <c r="A6" s="1">
        <f>+[4]Hoja1!$B35</f>
        <v>46251</v>
      </c>
    </row>
    <row r="7" spans="1:1" x14ac:dyDescent="0.25">
      <c r="A7" s="1">
        <f>+[4]Hoja1!$B36</f>
        <v>46307</v>
      </c>
    </row>
    <row r="8" spans="1:1" x14ac:dyDescent="0.25">
      <c r="A8" s="1">
        <f>+[4]Hoja1!$B37</f>
        <v>46332</v>
      </c>
    </row>
    <row r="9" spans="1:1" x14ac:dyDescent="0.25">
      <c r="A9" s="1">
        <f>+[4]Hoja1!$B38</f>
        <v>46335</v>
      </c>
    </row>
    <row r="10" spans="1:1" x14ac:dyDescent="0.25">
      <c r="A10" s="1">
        <f>+[4]Hoja1!$B39</f>
        <v>46336</v>
      </c>
    </row>
    <row r="11" spans="1:1" x14ac:dyDescent="0.25">
      <c r="A11" s="1">
        <f>+[4]Hoja1!$B40</f>
        <v>46349</v>
      </c>
    </row>
    <row r="12" spans="1:1" x14ac:dyDescent="0.25">
      <c r="A12" s="1">
        <f>+[4]Hoja1!$B41</f>
        <v>46363</v>
      </c>
    </row>
    <row r="13" spans="1:1" x14ac:dyDescent="0.25">
      <c r="A13" s="1">
        <f>+[4]Hoja1!$B42</f>
        <v>46364</v>
      </c>
    </row>
    <row r="14" spans="1:1" x14ac:dyDescent="0.25">
      <c r="A14" s="1">
        <f>+[4]Hoja1!$B43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F5" sqref="F5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15</v>
      </c>
      <c r="B2" s="7">
        <v>46006</v>
      </c>
      <c r="C2" s="7">
        <v>46356</v>
      </c>
      <c r="D2" s="6">
        <v>2.3E-2</v>
      </c>
    </row>
    <row r="3" spans="1:4" x14ac:dyDescent="0.25">
      <c r="A3" t="s">
        <v>3</v>
      </c>
      <c r="B3" s="7">
        <v>46265</v>
      </c>
      <c r="C3" s="7">
        <v>46416</v>
      </c>
      <c r="D3" s="6">
        <v>2.1899999999999999E-2</v>
      </c>
    </row>
    <row r="4" spans="1:4" x14ac:dyDescent="0.25">
      <c r="A4" t="s">
        <v>7</v>
      </c>
      <c r="B4" s="7">
        <v>45688</v>
      </c>
      <c r="C4" s="7">
        <v>46402</v>
      </c>
      <c r="D4" s="6">
        <v>2.0499999999999997E-2</v>
      </c>
    </row>
    <row r="5" spans="1:4" x14ac:dyDescent="0.25">
      <c r="A5" t="s">
        <v>16</v>
      </c>
      <c r="B5" s="7">
        <v>45961</v>
      </c>
      <c r="C5" s="7">
        <v>46507</v>
      </c>
      <c r="D5" s="6">
        <v>2.5499999999999998E-2</v>
      </c>
    </row>
    <row r="6" spans="1:4" x14ac:dyDescent="0.25">
      <c r="A6" t="s">
        <v>11</v>
      </c>
      <c r="B6" s="7">
        <v>46006</v>
      </c>
      <c r="C6" s="7">
        <v>46538</v>
      </c>
      <c r="D6" s="6">
        <v>2.4E-2</v>
      </c>
    </row>
    <row r="7" spans="1:4" x14ac:dyDescent="0.25">
      <c r="A7" t="s">
        <v>17</v>
      </c>
      <c r="B7" s="7">
        <v>46038</v>
      </c>
      <c r="C7" s="7">
        <v>46568</v>
      </c>
      <c r="D7" s="6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K18" sqref="K18"/>
    </sheetView>
  </sheetViews>
  <sheetFormatPr baseColWidth="10" defaultRowHeight="15" x14ac:dyDescent="0.25"/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4</v>
      </c>
      <c r="B2" s="8">
        <v>46066</v>
      </c>
      <c r="C2" s="7">
        <v>46444</v>
      </c>
      <c r="D2" s="6">
        <v>6.5000000000000002E-2</v>
      </c>
    </row>
    <row r="3" spans="1:4" x14ac:dyDescent="0.25">
      <c r="A3" t="s">
        <v>12</v>
      </c>
      <c r="B3" s="8">
        <v>46203</v>
      </c>
      <c r="C3" s="7">
        <v>46598</v>
      </c>
      <c r="D3" s="6">
        <v>5.3999999999999999E-2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E8" sqref="E8"/>
    </sheetView>
  </sheetViews>
  <sheetFormatPr baseColWidth="10" defaultRowHeight="15" x14ac:dyDescent="0.25"/>
  <sheetData>
    <row r="1" spans="1:5" x14ac:dyDescent="0.25">
      <c r="A1" t="s">
        <v>6</v>
      </c>
      <c r="B1" t="s">
        <v>8</v>
      </c>
      <c r="C1" t="s">
        <v>9</v>
      </c>
      <c r="D1" t="s">
        <v>10</v>
      </c>
      <c r="E1" t="s">
        <v>22</v>
      </c>
    </row>
    <row r="2" spans="1:5" x14ac:dyDescent="0.25">
      <c r="A2" t="s">
        <v>20</v>
      </c>
      <c r="B2" s="7">
        <v>46006</v>
      </c>
      <c r="C2" s="7">
        <v>46356</v>
      </c>
      <c r="D2" s="6">
        <v>0</v>
      </c>
      <c r="E2">
        <v>659.6789</v>
      </c>
    </row>
    <row r="3" spans="1:5" x14ac:dyDescent="0.25">
      <c r="A3" t="s">
        <v>13</v>
      </c>
      <c r="B3" s="7">
        <v>46248</v>
      </c>
      <c r="C3" s="7">
        <v>46416</v>
      </c>
      <c r="D3" s="6">
        <v>0</v>
      </c>
      <c r="E3">
        <v>815.43449999999996</v>
      </c>
    </row>
    <row r="4" spans="1:5" x14ac:dyDescent="0.25">
      <c r="A4" t="s">
        <v>19</v>
      </c>
      <c r="B4" s="7">
        <v>45989</v>
      </c>
      <c r="C4" s="7">
        <v>46507</v>
      </c>
      <c r="D4" s="6">
        <v>0</v>
      </c>
      <c r="E4">
        <v>651.8981</v>
      </c>
    </row>
    <row r="5" spans="1:5" x14ac:dyDescent="0.25">
      <c r="A5" t="s">
        <v>14</v>
      </c>
      <c r="B5" s="7">
        <v>46006</v>
      </c>
      <c r="C5" s="7">
        <v>46538</v>
      </c>
      <c r="D5" s="6">
        <v>0</v>
      </c>
      <c r="E5">
        <v>659.6789</v>
      </c>
    </row>
    <row r="6" spans="1:5" x14ac:dyDescent="0.25">
      <c r="A6" t="s">
        <v>18</v>
      </c>
      <c r="B6" s="7">
        <v>45323</v>
      </c>
      <c r="C6" s="7">
        <v>46568</v>
      </c>
      <c r="D6" s="6">
        <v>0</v>
      </c>
      <c r="E6">
        <v>200.38800000000001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Precios</vt:lpstr>
      <vt:lpstr>Tamar</vt:lpstr>
      <vt:lpstr>CER</vt:lpstr>
      <vt:lpstr>Feriados</vt:lpstr>
      <vt:lpstr>Lecaps</vt:lpstr>
      <vt:lpstr>Letam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2026-10-26T14:28:26Z</dcterms:modified>
</cp:coreProperties>
</file>